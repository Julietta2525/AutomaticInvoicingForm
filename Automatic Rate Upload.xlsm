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activeTab="2"/>
  </bookViews>
  <sheets>
    <sheet name="Home" sheetId="1" r:id="rId1"/>
    <sheet name="RateOverview" sheetId="7" state="hidden" r:id="rId2"/>
    <sheet name="OverviewPage" sheetId="9" r:id="rId3"/>
    <sheet name="Rules" sheetId="2" r:id="rId4"/>
    <sheet name="ActivityCodes" sheetId="6" r:id="rId5"/>
    <sheet name="SalesNames" sheetId="5" r:id="rId6"/>
    <sheet name="CustomerNames" sheetId="4" r:id="rId7"/>
    <sheet name="XMLData" sheetId="3" r:id="rId8"/>
    <sheet name="Sheet1" sheetId="8" r:id="rId9"/>
  </sheets>
  <definedNames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descrip">OFFSET(OverviewPage!$B$1,1,0,COUNTA(OverviewPage!$B:$B)-1,1)</definedName>
    <definedName name="overrangeunit">OFFSET(OverviewPage!$D$1,1,0,COUNTA(OverviewPage!$D:$D)-1,1)</definedName>
    <definedName name="OverviewforBox">OFFSET(OverviewPage!$A$1,1,0,COUNTA(OverviewPage!$A:$A)-1,29)</definedName>
    <definedName name="RateUnitCode">ActivityCodes!$I$2:$I$18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6" l="1"/>
  <c r="G12" i="6"/>
  <c r="G11" i="6"/>
  <c r="G10" i="6"/>
  <c r="G9" i="6"/>
  <c r="G8" i="6"/>
  <c r="G7" i="6"/>
  <c r="G6" i="6"/>
  <c r="G5" i="6"/>
  <c r="G4" i="6"/>
  <c r="G3" i="6"/>
  <c r="G2" i="6"/>
  <c r="I21" i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" i="6"/>
</calcChain>
</file>

<file path=xl/sharedStrings.xml><?xml version="1.0" encoding="utf-8"?>
<sst xmlns="http://schemas.openxmlformats.org/spreadsheetml/2006/main" count="707" uniqueCount="407">
  <si>
    <t>Customer</t>
  </si>
  <si>
    <t>Invoice In company</t>
  </si>
  <si>
    <t>Activity Code</t>
  </si>
  <si>
    <t>Activitycode financials</t>
  </si>
  <si>
    <t>Rate Type</t>
  </si>
  <si>
    <t>Level</t>
  </si>
  <si>
    <t>Valid From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</si>
  <si>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</si>
  <si>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</si>
  <si>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</si>
  <si>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</si>
  <si>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</si>
  <si>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</si>
  <si>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</si>
  <si>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</si>
  <si>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</si>
  <si>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</si>
  <si>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</si>
  <si>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</si>
  <si>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</si>
  <si>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commercial manager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</si>
  <si>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</si>
  <si>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</si>
  <si>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</si>
  <si>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</si>
  <si>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</si>
  <si>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</si>
  <si>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</si>
  <si>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</si>
  <si>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</si>
  <si>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</si>
  <si>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</si>
  <si>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</si>
  <si>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</si>
  <si>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</si>
  <si>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</si>
  <si>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</si>
  <si>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</si>
  <si>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</si>
  <si>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</si>
  <si>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</si>
  <si>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</si>
  <si>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</si>
  <si>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</si>
  <si>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</si>
  <si>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</si>
  <si>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</si>
  <si>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</si>
  <si>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</si>
  <si>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</si>
  <si>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</si>
  <si>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</si>
  <si>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</si>
  <si>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</si>
  <si>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</si>
  <si>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</si>
  <si>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</si>
  <si>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</si>
  <si>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</si>
  <si>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</si>
  <si>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</si>
  <si>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</si>
  <si>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</si>
  <si>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</si>
  <si>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</si>
  <si>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</si>
  <si>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</si>
  <si>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</si>
  <si>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</si>
  <si>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</si>
  <si>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</si>
  <si>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</si>
  <si>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</si>
  <si>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</si>
  <si>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</si>
  <si>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</si>
  <si>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</si>
  <si>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</si>
  <si>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</si>
  <si>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</si>
  <si>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</si>
  <si>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</si>
  <si>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</si>
  <si>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</si>
  <si>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</si>
  <si>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</si>
  <si>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</si>
  <si>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</si>
  <si>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</si>
  <si>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</si>
  <si>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</si>
  <si>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</si>
  <si>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</si>
  <si>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</si>
  <si>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</si>
  <si>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</si>
  <si>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</si>
  <si>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</si>
  <si>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</si>
  <si>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</si>
  <si>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</si>
  <si>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</si>
  <si>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</si>
  <si>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</si>
  <si>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</si>
  <si>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</si>
  <si>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</si>
  <si>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</si>
  <si>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</si>
  <si>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</si>
  <si>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</si>
  <si>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</si>
  <si>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</si>
  <si>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</si>
  <si>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</si>
  <si>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</si>
  <si>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</si>
  <si>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</si>
  <si>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</si>
  <si>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</si>
  <si>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</si>
  <si>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</si>
  <si>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</si>
  <si>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</si>
  <si>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</si>
  <si>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</si>
  <si>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</si>
  <si>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</si>
  <si>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</si>
  <si>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</si>
  <si>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</si>
  <si>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</si>
  <si>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</si>
  <si>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</si>
  <si>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</si>
  <si>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</si>
  <si>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</si>
  <si>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</si>
  <si>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</si>
  <si>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</si>
  <si>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</si>
  <si>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</si>
  <si>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</si>
  <si>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</si>
  <si>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</si>
  <si>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</si>
  <si>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</si>
  <si>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</si>
  <si>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</si>
  <si>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</si>
  <si>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</si>
  <si>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</si>
  <si>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</si>
  <si>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</si>
  <si>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</si>
  <si>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</si>
  <si>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</si>
  <si>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</si>
  <si>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</si>
  <si>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</si>
  <si>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</si>
  <si>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</si>
  <si>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</si>
  <si>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</si>
  <si>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</si>
  <si>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</si>
  <si>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</si>
  <si>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</si>
  <si>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</si>
  <si>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</si>
  <si>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</si>
  <si>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</si>
  <si>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</si>
  <si>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</si>
  <si>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</si>
  <si>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</si>
  <si>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</si>
  <si>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</si>
  <si>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</si>
  <si>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</si>
  <si>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</si>
  <si>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</si>
  <si>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</si>
  <si>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</si>
  <si>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</si>
  <si>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</si>
  <si>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</si>
  <si>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</si>
  <si>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</si>
  <si>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</si>
  <si>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</si>
  <si>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</si>
  <si>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</si>
  <si>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</si>
  <si>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</si>
  <si>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</si>
  <si>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</si>
  <si>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</si>
  <si>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</si>
  <si>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</si>
  <si>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</si>
  <si>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</si>
  <si>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</si>
  <si>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</si>
  <si>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</si>
  <si>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</si>
  <si>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</si>
  <si>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</si>
  <si>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</si>
  <si>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</si>
  <si>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</si>
  <si>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</si>
  <si>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</si>
  <si>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</si>
  <si>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</si>
  <si>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</si>
  <si>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</si>
  <si>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</si>
  <si>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Cleaning Charges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</si>
  <si>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</si>
  <si>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</si>
  <si>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</si>
  <si>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</si>
  <si>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</si>
  <si>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</si>
  <si>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</si>
  <si>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</si>
  <si>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</si>
  <si>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</si>
  <si>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</si>
  <si>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</si>
  <si>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</si>
  <si>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</si>
  <si>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</si>
  <si>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</si>
  <si>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</si>
  <si>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</si>
  <si>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</si>
  <si>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</si>
  <si>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</si>
  <si>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</si>
  <si>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</si>
  <si>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</si>
  <si>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</si>
  <si>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</si>
  <si>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</si>
  <si>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</si>
  <si>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</si>
  <si>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</si>
  <si>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</si>
  <si>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</si>
  <si>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</si>
  <si>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</si>
  <si>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</si>
  <si>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</si>
  <si>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</si>
  <si>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</si>
  <si>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</si>
  <si>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</si>
  <si>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</si>
  <si>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</si>
  <si>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</si>
  <si>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</si>
  <si>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</si>
  <si>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</si>
  <si>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</si>
  <si>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 Person</t>
  </si>
  <si>
    <t>Company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</si>
  <si>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</si>
  <si>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</si>
  <si>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</si>
  <si>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</si>
  <si>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</si>
  <si>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</si>
  <si>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</si>
  <si>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</si>
  <si>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</si>
  <si>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</si>
  <si>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</si>
  <si>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</si>
  <si>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</si>
  <si>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</si>
  <si>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</si>
  <si>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</si>
  <si>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</si>
  <si>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</si>
  <si>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</si>
  <si>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</si>
  <si>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</si>
  <si>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</si>
  <si>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</si>
  <si>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</si>
  <si>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</si>
  <si>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</si>
  <si>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</si>
  <si>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</si>
  <si>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</si>
  <si>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</si>
  <si>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</si>
  <si>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</si>
  <si>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</si>
  <si>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</si>
  <si>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</si>
  <si>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</si>
  <si>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</si>
  <si>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</si>
  <si>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</si>
  <si>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</si>
  <si>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</si>
  <si>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</si>
  <si>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</si>
  <si>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</si>
  <si>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</si>
  <si>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</si>
  <si>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</si>
  <si>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</si>
  <si>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</si>
  <si>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</si>
  <si>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Advanced/Inbound</t>
  </si>
  <si>
    <t>Range Per Pallet</t>
  </si>
  <si>
    <t>WH/PP/PTD/RPTDS</t>
  </si>
  <si>
    <t>Range Total Days</t>
  </si>
  <si>
    <t>Range Per Weight</t>
  </si>
  <si>
    <t>Ranger Per 100 lbs</t>
  </si>
  <si>
    <t>Range Per Ton</t>
  </si>
  <si>
    <t>WH/PP/WTD/RPW</t>
  </si>
  <si>
    <t>WH/PP/WTD/RPW/100PDS</t>
  </si>
  <si>
    <t>WH/PP/WTD/RPW/TON</t>
  </si>
  <si>
    <t>Advanced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</si>
  <si>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</si>
  <si>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</si>
  <si>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</si>
  <si>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</si>
  <si>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</si>
  <si>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</si>
  <si>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</si>
  <si>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</si>
  <si>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</si>
  <si>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</si>
  <si>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OCTABIN</t>
  </si>
  <si>
    <t>BAG</t>
  </si>
  <si>
    <t>BOX</t>
  </si>
  <si>
    <t>DRUM</t>
  </si>
  <si>
    <t>DAY</t>
  </si>
  <si>
    <t>BIGBAG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</si>
  <si>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</si>
  <si>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</si>
  <si>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</si>
  <si>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</si>
  <si>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</si>
  <si>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</si>
  <si>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</si>
  <si>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</si>
  <si>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</si>
  <si>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</si>
  <si>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</si>
  <si>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</si>
  <si>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</si>
  <si>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</si>
  <si>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</si>
  <si>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</si>
  <si>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Testing Live</t>
  </si>
  <si>
    <t>Real Estate Check</t>
  </si>
  <si>
    <t>Valid Until Date</t>
  </si>
  <si>
    <t>Railcar to Seabulk Container</t>
  </si>
  <si>
    <t>test</t>
  </si>
  <si>
    <t>asdf</t>
  </si>
  <si>
    <t>arga</t>
  </si>
  <si>
    <t>fd</t>
  </si>
  <si>
    <t>RGAH</t>
  </si>
  <si>
    <t>Railcar to FFS Bags</t>
  </si>
  <si>
    <t>25KG Bags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</si>
  <si>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</si>
  <si>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</si>
  <si>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</si>
  <si>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</si>
  <si>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</si>
  <si>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</si>
  <si>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</si>
  <si>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</si>
  <si>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</si>
  <si>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xtyhj</t>
  </si>
  <si>
    <t>WRG</t>
  </si>
  <si>
    <t>10/01/2019</t>
  </si>
  <si>
    <t>10/01/2020</t>
  </si>
  <si>
    <t>10/01/2021</t>
  </si>
  <si>
    <t>10/01/2022</t>
  </si>
  <si>
    <t>10/01/2023</t>
  </si>
  <si>
    <t>10/01/2024</t>
  </si>
  <si>
    <t>10/01/2025</t>
  </si>
  <si>
    <t>10/01/2026</t>
  </si>
  <si>
    <t>10/01/2027</t>
  </si>
  <si>
    <t>10/01/2028</t>
  </si>
  <si>
    <t>10/01/2029</t>
  </si>
  <si>
    <t>10/01/2030</t>
  </si>
  <si>
    <t>10/01/2031</t>
  </si>
  <si>
    <t>10/01/2032</t>
  </si>
  <si>
    <t>10/01/2034</t>
  </si>
  <si>
    <t>10/01/2035</t>
  </si>
  <si>
    <t>Did I fix this part already?</t>
  </si>
  <si>
    <t>/01/2035</t>
  </si>
  <si>
    <t>What did I do?!</t>
  </si>
  <si>
    <t>Test Test</t>
  </si>
  <si>
    <t>/01/2018</t>
  </si>
  <si>
    <t>01/01/2018</t>
  </si>
  <si>
    <t>TEST PLEASE WORK!</t>
  </si>
  <si>
    <t>bnnmnm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</si>
</sst>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I21"/>
  <sheetViews>
    <sheetView workbookViewId="0">
      <selection activeCell="I13" sqref="I13"/>
    </sheetView>
  </sheetViews>
  <sheetFormatPr defaultRowHeight="15" x14ac:dyDescent="0.25"/>
  <cols>
    <col min="5" max="5" width="9.5703125" bestFit="1" customWidth="1"/>
    <col min="6" max="6" width="12.140625" bestFit="1" customWidth="1"/>
    <col min="7" max="7" width="9.28515625" bestFit="1" customWidth="1"/>
    <col min="8" max="8" width="16.85546875" customWidth="1"/>
  </cols>
  <sheetData>
    <row r="3" spans="5:8" x14ac:dyDescent="0.25">
      <c r="E3" t="s">
        <v>0</v>
      </c>
      <c r="F3" t="s">
        <v>266</v>
      </c>
      <c r="G3" t="s">
        <v>267</v>
      </c>
      <c r="H3" t="s">
        <v>268</v>
      </c>
    </row>
    <row r="21" spans="9:9" x14ac:dyDescent="0.25">
      <c r="I21" t="str">
        <f>MID(C15,4,2)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239</v>
      </c>
      <c r="B1" t="s">
        <v>201</v>
      </c>
      <c r="C1" t="s">
        <v>359</v>
      </c>
      <c r="D1" t="s">
        <v>9</v>
      </c>
      <c r="E1" t="s">
        <v>11</v>
      </c>
      <c r="F1" t="s">
        <v>240</v>
      </c>
      <c r="G1" t="s">
        <v>241</v>
      </c>
      <c r="H1" t="s">
        <v>242</v>
      </c>
      <c r="I1" t="s">
        <v>243</v>
      </c>
      <c r="J1" t="s">
        <v>17</v>
      </c>
      <c r="K1" t="s">
        <v>244</v>
      </c>
      <c r="L1" t="s">
        <v>304</v>
      </c>
      <c r="M1" t="s">
        <v>245</v>
      </c>
      <c r="N1" s="6" t="s">
        <v>290</v>
      </c>
      <c r="O1" s="6" t="s">
        <v>291</v>
      </c>
      <c r="P1" s="6" t="s">
        <v>293</v>
      </c>
      <c r="Q1" s="6" t="s">
        <v>294</v>
      </c>
      <c r="R1" s="6" t="s">
        <v>295</v>
      </c>
      <c r="S1" s="6" t="s">
        <v>296</v>
      </c>
      <c r="T1" s="6" t="s">
        <v>292</v>
      </c>
      <c r="U1" s="7" t="s">
        <v>297</v>
      </c>
      <c r="V1" s="7" t="s">
        <v>298</v>
      </c>
      <c r="W1" s="7" t="s">
        <v>300</v>
      </c>
      <c r="X1" s="7" t="s">
        <v>301</v>
      </c>
      <c r="Y1" s="7" t="s">
        <v>302</v>
      </c>
      <c r="Z1" s="7" t="s">
        <v>303</v>
      </c>
      <c r="AA1" s="7" t="s">
        <v>299</v>
      </c>
      <c r="AB1" s="8" t="s">
        <v>346</v>
      </c>
    </row>
    <row r="2" spans="1:28" x14ac:dyDescent="0.25">
      <c r="A2">
        <v>3600</v>
      </c>
      <c r="B2" t="s">
        <v>246</v>
      </c>
      <c r="C2">
        <v>0</v>
      </c>
      <c r="D2">
        <v>999999999</v>
      </c>
      <c r="E2">
        <v>25.36</v>
      </c>
      <c r="F2" t="s">
        <v>338</v>
      </c>
      <c r="G2">
        <v>0</v>
      </c>
      <c r="H2">
        <v>0</v>
      </c>
      <c r="I2" t="s">
        <v>247</v>
      </c>
      <c r="J2" t="s">
        <v>307</v>
      </c>
      <c r="K2" t="s">
        <v>307</v>
      </c>
      <c r="L2" t="s">
        <v>360</v>
      </c>
      <c r="M2" t="s">
        <v>248</v>
      </c>
      <c r="AB2" t="s">
        <v>248</v>
      </c>
    </row>
    <row r="3" spans="1:28" x14ac:dyDescent="0.25">
      <c r="A3">
        <v>1400</v>
      </c>
      <c r="B3" t="s">
        <v>357</v>
      </c>
      <c r="C3" t="s">
        <v>249</v>
      </c>
      <c r="D3" t="s">
        <v>247</v>
      </c>
      <c r="E3">
        <v>1</v>
      </c>
      <c r="F3">
        <v>13</v>
      </c>
      <c r="G3">
        <v>25</v>
      </c>
      <c r="H3">
        <v>0</v>
      </c>
      <c r="I3">
        <v>0</v>
      </c>
      <c r="J3" t="s">
        <v>248</v>
      </c>
      <c r="K3" t="s">
        <v>248</v>
      </c>
      <c r="L3" t="s">
        <v>248</v>
      </c>
      <c r="M3" t="s">
        <v>358</v>
      </c>
      <c r="AB3" t="s">
        <v>307</v>
      </c>
    </row>
    <row r="4" spans="1:28" x14ac:dyDescent="0.25">
      <c r="A4">
        <v>1401</v>
      </c>
      <c r="B4" t="s">
        <v>305</v>
      </c>
      <c r="C4" t="s">
        <v>249</v>
      </c>
      <c r="D4" t="s">
        <v>247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248</v>
      </c>
      <c r="K4" t="s">
        <v>248</v>
      </c>
      <c r="L4" t="s">
        <v>307</v>
      </c>
      <c r="M4" t="s">
        <v>306</v>
      </c>
      <c r="N4">
        <v>16</v>
      </c>
      <c r="O4">
        <v>30</v>
      </c>
      <c r="P4">
        <v>0</v>
      </c>
      <c r="Q4">
        <v>0</v>
      </c>
      <c r="R4" t="s">
        <v>248</v>
      </c>
      <c r="S4" t="s">
        <v>248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248</v>
      </c>
      <c r="Z4" t="s">
        <v>248</v>
      </c>
      <c r="AA4">
        <v>25.5</v>
      </c>
    </row>
    <row r="5" spans="1:28" x14ac:dyDescent="0.25">
      <c r="A5">
        <v>3030</v>
      </c>
      <c r="B5" t="s">
        <v>305</v>
      </c>
      <c r="C5" t="s">
        <v>249</v>
      </c>
      <c r="D5" t="s">
        <v>247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248</v>
      </c>
      <c r="K5" t="s">
        <v>248</v>
      </c>
      <c r="L5" t="s">
        <v>307</v>
      </c>
      <c r="M5" t="s">
        <v>306</v>
      </c>
      <c r="N5">
        <v>16</v>
      </c>
      <c r="O5">
        <v>30</v>
      </c>
      <c r="P5">
        <v>0</v>
      </c>
      <c r="Q5">
        <v>0</v>
      </c>
      <c r="R5" t="s">
        <v>248</v>
      </c>
      <c r="S5" t="s">
        <v>248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248</v>
      </c>
      <c r="Z5" t="s">
        <v>248</v>
      </c>
      <c r="AA5">
        <v>25.5</v>
      </c>
    </row>
    <row r="6" spans="1:28" x14ac:dyDescent="0.25">
      <c r="A6">
        <v>3030</v>
      </c>
      <c r="B6" t="s">
        <v>308</v>
      </c>
      <c r="C6" t="s">
        <v>249</v>
      </c>
      <c r="D6" t="s">
        <v>247</v>
      </c>
      <c r="E6" t="s">
        <v>309</v>
      </c>
      <c r="F6" t="s">
        <v>310</v>
      </c>
      <c r="G6" t="s">
        <v>309</v>
      </c>
      <c r="H6" t="s">
        <v>311</v>
      </c>
      <c r="I6" t="s">
        <v>312</v>
      </c>
      <c r="J6" t="s">
        <v>248</v>
      </c>
      <c r="K6" t="s">
        <v>248</v>
      </c>
      <c r="L6" t="s">
        <v>248</v>
      </c>
      <c r="M6" t="s">
        <v>310</v>
      </c>
    </row>
    <row r="7" spans="1:28" x14ac:dyDescent="0.25">
      <c r="A7">
        <v>3752</v>
      </c>
      <c r="B7" t="s">
        <v>313</v>
      </c>
      <c r="C7" t="s">
        <v>249</v>
      </c>
      <c r="D7" t="s">
        <v>247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248</v>
      </c>
      <c r="K7" t="s">
        <v>248</v>
      </c>
      <c r="L7" t="s">
        <v>307</v>
      </c>
      <c r="M7" t="s">
        <v>306</v>
      </c>
      <c r="N7">
        <v>16</v>
      </c>
      <c r="O7">
        <v>30</v>
      </c>
      <c r="P7">
        <v>0</v>
      </c>
      <c r="Q7">
        <v>0</v>
      </c>
      <c r="R7" t="s">
        <v>248</v>
      </c>
      <c r="S7" t="s">
        <v>248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248</v>
      </c>
      <c r="Z7" t="s">
        <v>248</v>
      </c>
      <c r="AA7">
        <v>25.5</v>
      </c>
    </row>
    <row r="8" spans="1:28" x14ac:dyDescent="0.25">
      <c r="A8">
        <v>1200</v>
      </c>
      <c r="B8" t="s">
        <v>347</v>
      </c>
      <c r="C8" t="s">
        <v>329</v>
      </c>
      <c r="D8" t="s">
        <v>247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307</v>
      </c>
      <c r="K8" t="s">
        <v>307</v>
      </c>
      <c r="L8" t="s">
        <v>248</v>
      </c>
      <c r="M8" t="s">
        <v>348</v>
      </c>
    </row>
    <row r="9" spans="1:28" x14ac:dyDescent="0.25">
      <c r="A9">
        <v>1200</v>
      </c>
      <c r="B9" t="s">
        <v>349</v>
      </c>
      <c r="C9" t="s">
        <v>329</v>
      </c>
      <c r="D9" t="s">
        <v>247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307</v>
      </c>
      <c r="K9" t="s">
        <v>307</v>
      </c>
      <c r="L9" t="s">
        <v>248</v>
      </c>
      <c r="M9" t="s">
        <v>350</v>
      </c>
    </row>
    <row r="10" spans="1:28" x14ac:dyDescent="0.25">
      <c r="A10">
        <v>1402</v>
      </c>
      <c r="B10" t="s">
        <v>351</v>
      </c>
      <c r="C10" t="s">
        <v>249</v>
      </c>
      <c r="D10" t="s">
        <v>247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248</v>
      </c>
      <c r="K10" t="s">
        <v>248</v>
      </c>
      <c r="L10" t="s">
        <v>248</v>
      </c>
      <c r="M10" t="s">
        <v>352</v>
      </c>
    </row>
    <row r="11" spans="1:28" x14ac:dyDescent="0.25">
      <c r="A11">
        <v>3310</v>
      </c>
      <c r="B11" t="s">
        <v>353</v>
      </c>
      <c r="C11" t="s">
        <v>334</v>
      </c>
      <c r="D11" t="s">
        <v>247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248</v>
      </c>
      <c r="K11" t="s">
        <v>248</v>
      </c>
      <c r="L11" t="s">
        <v>248</v>
      </c>
    </row>
    <row r="12" spans="1:28" x14ac:dyDescent="0.25">
      <c r="A12">
        <v>1200</v>
      </c>
      <c r="B12" t="s">
        <v>354</v>
      </c>
      <c r="C12" t="s">
        <v>329</v>
      </c>
      <c r="D12" t="s">
        <v>247</v>
      </c>
      <c r="E12">
        <v>0</v>
      </c>
      <c r="F12">
        <v>999999999</v>
      </c>
      <c r="H12">
        <v>0</v>
      </c>
      <c r="I12">
        <v>0</v>
      </c>
      <c r="J12" t="s">
        <v>248</v>
      </c>
      <c r="K12" t="s">
        <v>248</v>
      </c>
      <c r="L12" t="s">
        <v>248</v>
      </c>
      <c r="M12" t="s">
        <v>355</v>
      </c>
    </row>
    <row r="13" spans="1:28" x14ac:dyDescent="0.25">
      <c r="A13">
        <v>1200</v>
      </c>
      <c r="B13" t="s">
        <v>356</v>
      </c>
      <c r="C13" t="s">
        <v>329</v>
      </c>
      <c r="D13" t="s">
        <v>247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248</v>
      </c>
      <c r="K13" t="s">
        <v>248</v>
      </c>
      <c r="L13" t="s">
        <v>307</v>
      </c>
      <c r="N13">
        <v>16</v>
      </c>
      <c r="O13">
        <v>30</v>
      </c>
      <c r="P13">
        <v>0</v>
      </c>
      <c r="Q13">
        <v>0</v>
      </c>
      <c r="R13" t="s">
        <v>248</v>
      </c>
      <c r="S13" t="s">
        <v>248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248</v>
      </c>
      <c r="Z13" t="s">
        <v>248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2"/>
  <sheetViews>
    <sheetView tabSelected="1" workbookViewId="0">
      <selection activeCell="B22" sqref="B22"/>
    </sheetView>
  </sheetViews>
  <sheetFormatPr defaultRowHeight="15" x14ac:dyDescent="0.25"/>
  <cols>
    <col min="1" max="1" width="12" bestFit="1" customWidth="1"/>
    <col min="2" max="2" width="17" bestFit="1" customWidth="1"/>
    <col min="3" max="3" width="17" style="9" customWidth="1"/>
    <col min="4" max="4" width="14.85546875" bestFit="1" customWidth="1"/>
    <col min="5" max="5" width="14" bestFit="1" customWidth="1"/>
    <col min="6" max="6" width="11.42578125" bestFit="1" customWidth="1"/>
    <col min="7" max="7" width="10" bestFit="1" customWidth="1"/>
    <col min="8" max="8" width="8" bestFit="1" customWidth="1"/>
    <col min="9" max="9" width="16.28515625" bestFit="1" customWidth="1"/>
    <col min="10" max="10" width="16.5703125" bestFit="1" customWidth="1"/>
    <col min="11" max="11" width="12.85546875" bestFit="1" customWidth="1"/>
    <col min="12" max="12" width="11.5703125" bestFit="1" customWidth="1"/>
    <col min="13" max="13" width="16.7109375" bestFit="1" customWidth="1"/>
    <col min="14" max="14" width="19.28515625" bestFit="1" customWidth="1"/>
    <col min="15" max="15" width="19.28515625" customWidth="1"/>
    <col min="16" max="16" width="11.7109375" bestFit="1" customWidth="1"/>
    <col min="17" max="17" width="10" bestFit="1" customWidth="1"/>
  </cols>
  <sheetData>
    <row r="1" spans="1:30" x14ac:dyDescent="0.25">
      <c r="A1" t="s">
        <v>239</v>
      </c>
      <c r="B1" t="s">
        <v>201</v>
      </c>
      <c r="C1" s="9" t="s">
        <v>363</v>
      </c>
      <c r="D1" t="s">
        <v>359</v>
      </c>
      <c r="E1" t="s">
        <v>9</v>
      </c>
      <c r="F1" t="s">
        <v>11</v>
      </c>
      <c r="G1" t="s">
        <v>240</v>
      </c>
      <c r="H1" t="s">
        <v>241</v>
      </c>
      <c r="I1" t="s">
        <v>242</v>
      </c>
      <c r="J1" t="s">
        <v>243</v>
      </c>
      <c r="K1" t="s">
        <v>17</v>
      </c>
      <c r="L1" t="s">
        <v>244</v>
      </c>
      <c r="M1" t="s">
        <v>304</v>
      </c>
      <c r="N1" t="s">
        <v>245</v>
      </c>
      <c r="O1" t="s">
        <v>362</v>
      </c>
      <c r="P1" s="6" t="s">
        <v>290</v>
      </c>
      <c r="Q1" s="6" t="s">
        <v>291</v>
      </c>
      <c r="R1" s="6" t="s">
        <v>293</v>
      </c>
      <c r="S1" s="6" t="s">
        <v>294</v>
      </c>
      <c r="T1" s="6" t="s">
        <v>295</v>
      </c>
      <c r="U1" s="6" t="s">
        <v>296</v>
      </c>
      <c r="V1" s="6" t="s">
        <v>292</v>
      </c>
      <c r="W1" s="7" t="s">
        <v>297</v>
      </c>
      <c r="X1" s="7" t="s">
        <v>298</v>
      </c>
      <c r="Y1" s="7" t="s">
        <v>300</v>
      </c>
      <c r="Z1" s="7" t="s">
        <v>301</v>
      </c>
      <c r="AA1" s="7" t="s">
        <v>302</v>
      </c>
      <c r="AB1" s="7" t="s">
        <v>303</v>
      </c>
      <c r="AC1" s="7" t="s">
        <v>299</v>
      </c>
      <c r="AD1" s="8" t="s">
        <v>346</v>
      </c>
    </row>
    <row r="2" spans="1:30" x14ac:dyDescent="0.25">
      <c r="A2">
        <v>3600</v>
      </c>
      <c r="B2" t="s">
        <v>405</v>
      </c>
      <c r="C2" s="9" t="s">
        <v>403</v>
      </c>
      <c r="D2" t="s">
        <v>249</v>
      </c>
      <c r="E2" t="s">
        <v>247</v>
      </c>
      <c r="F2">
        <v>1</v>
      </c>
      <c r="G2">
        <v>999999999</v>
      </c>
      <c r="H2">
        <v>0</v>
      </c>
      <c r="I2">
        <v>0</v>
      </c>
      <c r="J2">
        <v>0</v>
      </c>
      <c r="K2" t="s">
        <v>307</v>
      </c>
      <c r="L2" t="s">
        <v>307</v>
      </c>
      <c r="M2" t="s">
        <v>248</v>
      </c>
      <c r="N2" t="s">
        <v>365</v>
      </c>
      <c r="O2" t="s">
        <v>307</v>
      </c>
      <c r="AD2" t="s">
        <v>248</v>
      </c>
    </row>
    <row r="3" spans="1:30" x14ac:dyDescent="0.25">
      <c r="A3">
        <v>1400</v>
      </c>
      <c r="B3" t="s">
        <v>357</v>
      </c>
      <c r="C3" s="9" t="s">
        <v>383</v>
      </c>
      <c r="D3" t="s">
        <v>249</v>
      </c>
      <c r="E3" t="s">
        <v>247</v>
      </c>
      <c r="F3">
        <v>1</v>
      </c>
      <c r="G3">
        <v>999999999</v>
      </c>
      <c r="H3">
        <v>25</v>
      </c>
      <c r="I3">
        <v>0</v>
      </c>
      <c r="J3">
        <v>0</v>
      </c>
      <c r="K3" t="s">
        <v>248</v>
      </c>
      <c r="L3" t="s">
        <v>248</v>
      </c>
      <c r="M3" t="s">
        <v>248</v>
      </c>
      <c r="N3" t="s">
        <v>358</v>
      </c>
      <c r="O3" t="s">
        <v>248</v>
      </c>
      <c r="AD3" t="s">
        <v>307</v>
      </c>
    </row>
    <row r="4" spans="1:30" x14ac:dyDescent="0.25">
      <c r="A4">
        <v>1401</v>
      </c>
      <c r="B4" t="s">
        <v>305</v>
      </c>
      <c r="C4" s="9" t="s">
        <v>384</v>
      </c>
      <c r="D4" t="s">
        <v>249</v>
      </c>
      <c r="E4" t="s">
        <v>247</v>
      </c>
      <c r="F4">
        <v>1</v>
      </c>
      <c r="G4">
        <v>999999999</v>
      </c>
      <c r="H4">
        <v>1.1499999999999999</v>
      </c>
      <c r="I4">
        <v>0</v>
      </c>
      <c r="J4">
        <v>0</v>
      </c>
      <c r="K4" t="s">
        <v>248</v>
      </c>
      <c r="L4" t="s">
        <v>248</v>
      </c>
      <c r="M4" t="s">
        <v>307</v>
      </c>
      <c r="N4" t="s">
        <v>306</v>
      </c>
      <c r="O4" t="s">
        <v>307</v>
      </c>
      <c r="P4">
        <v>16</v>
      </c>
      <c r="Q4">
        <v>30</v>
      </c>
      <c r="R4">
        <v>0</v>
      </c>
      <c r="S4">
        <v>0</v>
      </c>
      <c r="T4" t="s">
        <v>248</v>
      </c>
      <c r="U4" t="s">
        <v>248</v>
      </c>
      <c r="V4">
        <v>5</v>
      </c>
      <c r="W4">
        <v>31</v>
      </c>
      <c r="X4">
        <v>9999999</v>
      </c>
      <c r="Y4">
        <v>0</v>
      </c>
      <c r="Z4">
        <v>0</v>
      </c>
      <c r="AA4" t="s">
        <v>248</v>
      </c>
      <c r="AB4" t="s">
        <v>248</v>
      </c>
      <c r="AC4">
        <v>25.5</v>
      </c>
    </row>
    <row r="5" spans="1:30" x14ac:dyDescent="0.25">
      <c r="A5">
        <v>3030</v>
      </c>
      <c r="B5" t="s">
        <v>305</v>
      </c>
      <c r="C5" s="9" t="s">
        <v>385</v>
      </c>
      <c r="D5" t="s">
        <v>249</v>
      </c>
      <c r="E5" t="s">
        <v>247</v>
      </c>
      <c r="F5">
        <v>1</v>
      </c>
      <c r="G5">
        <v>999999999</v>
      </c>
      <c r="H5">
        <v>1.1499999999999999</v>
      </c>
      <c r="I5">
        <v>0</v>
      </c>
      <c r="J5">
        <v>0</v>
      </c>
      <c r="K5" t="s">
        <v>248</v>
      </c>
      <c r="L5" t="s">
        <v>248</v>
      </c>
      <c r="M5" t="s">
        <v>307</v>
      </c>
      <c r="N5" t="s">
        <v>306</v>
      </c>
      <c r="O5" t="s">
        <v>307</v>
      </c>
      <c r="P5">
        <v>16</v>
      </c>
      <c r="Q5">
        <v>30</v>
      </c>
      <c r="R5">
        <v>0</v>
      </c>
      <c r="S5">
        <v>0</v>
      </c>
      <c r="T5" t="s">
        <v>248</v>
      </c>
      <c r="U5" t="s">
        <v>248</v>
      </c>
      <c r="V5">
        <v>5</v>
      </c>
      <c r="W5">
        <v>31</v>
      </c>
      <c r="X5">
        <v>9999999</v>
      </c>
      <c r="Y5">
        <v>0</v>
      </c>
      <c r="Z5">
        <v>0</v>
      </c>
      <c r="AA5" t="s">
        <v>248</v>
      </c>
      <c r="AB5" t="s">
        <v>248</v>
      </c>
      <c r="AC5">
        <v>25.5</v>
      </c>
    </row>
    <row r="6" spans="1:30" x14ac:dyDescent="0.25">
      <c r="A6">
        <v>3030</v>
      </c>
      <c r="B6" t="s">
        <v>308</v>
      </c>
      <c r="C6" s="9" t="s">
        <v>386</v>
      </c>
      <c r="D6" t="s">
        <v>249</v>
      </c>
      <c r="E6" t="s">
        <v>247</v>
      </c>
      <c r="F6">
        <v>1</v>
      </c>
      <c r="G6">
        <v>999999999</v>
      </c>
      <c r="H6">
        <v>1.1499999999999999</v>
      </c>
      <c r="I6">
        <v>0</v>
      </c>
      <c r="J6">
        <v>0</v>
      </c>
      <c r="K6" t="s">
        <v>248</v>
      </c>
      <c r="L6" t="s">
        <v>248</v>
      </c>
      <c r="M6" t="s">
        <v>248</v>
      </c>
      <c r="N6" t="s">
        <v>310</v>
      </c>
      <c r="O6" t="s">
        <v>248</v>
      </c>
    </row>
    <row r="7" spans="1:30" x14ac:dyDescent="0.25">
      <c r="A7">
        <v>3752</v>
      </c>
      <c r="B7" t="s">
        <v>313</v>
      </c>
      <c r="C7" s="9" t="s">
        <v>387</v>
      </c>
      <c r="D7" t="s">
        <v>249</v>
      </c>
      <c r="E7" t="s">
        <v>247</v>
      </c>
      <c r="F7">
        <v>1</v>
      </c>
      <c r="G7">
        <v>999999999</v>
      </c>
      <c r="H7">
        <v>1.1499999999999999</v>
      </c>
      <c r="I7">
        <v>0</v>
      </c>
      <c r="J7">
        <v>0</v>
      </c>
      <c r="K7" t="s">
        <v>248</v>
      </c>
      <c r="L7" t="s">
        <v>248</v>
      </c>
      <c r="M7" t="s">
        <v>307</v>
      </c>
      <c r="N7" t="s">
        <v>306</v>
      </c>
      <c r="O7" t="s">
        <v>307</v>
      </c>
      <c r="P7">
        <v>16</v>
      </c>
      <c r="Q7">
        <v>30</v>
      </c>
      <c r="R7">
        <v>0</v>
      </c>
      <c r="S7">
        <v>0</v>
      </c>
      <c r="T7" t="s">
        <v>248</v>
      </c>
      <c r="U7" t="s">
        <v>248</v>
      </c>
      <c r="V7">
        <v>5</v>
      </c>
      <c r="W7">
        <v>31</v>
      </c>
      <c r="X7">
        <v>9999999</v>
      </c>
      <c r="Y7">
        <v>0</v>
      </c>
      <c r="Z7">
        <v>0</v>
      </c>
      <c r="AA7" t="s">
        <v>248</v>
      </c>
      <c r="AB7" t="s">
        <v>248</v>
      </c>
      <c r="AC7">
        <v>25.5</v>
      </c>
    </row>
    <row r="8" spans="1:30" x14ac:dyDescent="0.25">
      <c r="A8">
        <v>1200</v>
      </c>
      <c r="B8" t="s">
        <v>347</v>
      </c>
      <c r="C8" s="9" t="s">
        <v>388</v>
      </c>
      <c r="D8" t="s">
        <v>329</v>
      </c>
      <c r="E8" t="s">
        <v>247</v>
      </c>
      <c r="F8">
        <v>1</v>
      </c>
      <c r="G8">
        <v>999999999</v>
      </c>
      <c r="H8">
        <v>15</v>
      </c>
      <c r="I8">
        <v>0</v>
      </c>
      <c r="J8">
        <v>0</v>
      </c>
      <c r="K8" t="s">
        <v>307</v>
      </c>
      <c r="L8" t="s">
        <v>307</v>
      </c>
      <c r="M8" t="s">
        <v>248</v>
      </c>
      <c r="N8" t="s">
        <v>348</v>
      </c>
      <c r="O8" t="s">
        <v>248</v>
      </c>
    </row>
    <row r="9" spans="1:30" x14ac:dyDescent="0.25">
      <c r="A9">
        <v>1200</v>
      </c>
      <c r="B9" t="s">
        <v>349</v>
      </c>
      <c r="C9" s="9" t="s">
        <v>389</v>
      </c>
      <c r="D9" t="s">
        <v>329</v>
      </c>
      <c r="E9" t="s">
        <v>247</v>
      </c>
      <c r="F9">
        <v>1</v>
      </c>
      <c r="G9">
        <v>999999999</v>
      </c>
      <c r="H9">
        <v>15</v>
      </c>
      <c r="I9">
        <v>0</v>
      </c>
      <c r="J9">
        <v>0</v>
      </c>
      <c r="K9" t="s">
        <v>307</v>
      </c>
      <c r="L9" t="s">
        <v>307</v>
      </c>
      <c r="M9" t="s">
        <v>248</v>
      </c>
      <c r="N9" t="s">
        <v>350</v>
      </c>
      <c r="O9" t="s">
        <v>248</v>
      </c>
    </row>
    <row r="10" spans="1:30" x14ac:dyDescent="0.25">
      <c r="A10">
        <v>1402</v>
      </c>
      <c r="B10" t="s">
        <v>351</v>
      </c>
      <c r="C10" s="9" t="s">
        <v>390</v>
      </c>
      <c r="D10" t="s">
        <v>249</v>
      </c>
      <c r="E10" t="s">
        <v>247</v>
      </c>
      <c r="F10">
        <v>1</v>
      </c>
      <c r="G10">
        <v>999999999</v>
      </c>
      <c r="H10">
        <v>25</v>
      </c>
      <c r="I10">
        <v>0</v>
      </c>
      <c r="J10">
        <v>0</v>
      </c>
      <c r="K10" t="s">
        <v>248</v>
      </c>
      <c r="L10" t="s">
        <v>248</v>
      </c>
      <c r="M10" t="s">
        <v>248</v>
      </c>
      <c r="N10" t="s">
        <v>352</v>
      </c>
      <c r="O10" t="s">
        <v>248</v>
      </c>
    </row>
    <row r="11" spans="1:30" x14ac:dyDescent="0.25">
      <c r="A11">
        <v>3310</v>
      </c>
      <c r="B11" t="s">
        <v>353</v>
      </c>
      <c r="C11" s="9" t="s">
        <v>391</v>
      </c>
      <c r="D11" t="s">
        <v>334</v>
      </c>
      <c r="E11" t="s">
        <v>247</v>
      </c>
      <c r="F11">
        <v>1</v>
      </c>
      <c r="G11">
        <v>999999999</v>
      </c>
      <c r="H11">
        <v>2.8700000000000002E-3</v>
      </c>
      <c r="I11">
        <v>0</v>
      </c>
      <c r="J11">
        <v>0</v>
      </c>
      <c r="K11" t="s">
        <v>248</v>
      </c>
      <c r="L11" t="s">
        <v>248</v>
      </c>
      <c r="M11" t="s">
        <v>248</v>
      </c>
      <c r="N11" t="s">
        <v>366</v>
      </c>
      <c r="O11" t="s">
        <v>248</v>
      </c>
    </row>
    <row r="12" spans="1:30" x14ac:dyDescent="0.25">
      <c r="A12">
        <v>1200</v>
      </c>
      <c r="B12" t="s">
        <v>354</v>
      </c>
      <c r="C12" s="9" t="s">
        <v>392</v>
      </c>
      <c r="D12" t="s">
        <v>329</v>
      </c>
      <c r="E12" t="s">
        <v>247</v>
      </c>
      <c r="F12">
        <v>1</v>
      </c>
      <c r="G12">
        <v>999999999</v>
      </c>
      <c r="H12">
        <v>2.8700000000000002E-3</v>
      </c>
      <c r="I12">
        <v>0</v>
      </c>
      <c r="J12">
        <v>0</v>
      </c>
      <c r="K12" t="s">
        <v>248</v>
      </c>
      <c r="L12" t="s">
        <v>248</v>
      </c>
      <c r="M12" t="s">
        <v>248</v>
      </c>
      <c r="N12" t="s">
        <v>355</v>
      </c>
      <c r="O12" t="s">
        <v>248</v>
      </c>
    </row>
    <row r="13" spans="1:30" x14ac:dyDescent="0.25">
      <c r="A13">
        <v>1200</v>
      </c>
      <c r="B13" t="s">
        <v>356</v>
      </c>
      <c r="C13" s="9" t="s">
        <v>393</v>
      </c>
      <c r="D13" t="s">
        <v>329</v>
      </c>
      <c r="E13" t="s">
        <v>247</v>
      </c>
      <c r="F13">
        <v>1</v>
      </c>
      <c r="G13">
        <v>999999999</v>
      </c>
      <c r="H13">
        <v>10</v>
      </c>
      <c r="I13">
        <v>0</v>
      </c>
      <c r="J13">
        <v>0</v>
      </c>
      <c r="K13" t="s">
        <v>248</v>
      </c>
      <c r="L13" t="s">
        <v>248</v>
      </c>
      <c r="M13" t="s">
        <v>307</v>
      </c>
      <c r="N13" t="s">
        <v>367</v>
      </c>
      <c r="O13" t="s">
        <v>307</v>
      </c>
      <c r="P13">
        <v>16</v>
      </c>
      <c r="Q13">
        <v>30</v>
      </c>
      <c r="R13">
        <v>0</v>
      </c>
      <c r="S13">
        <v>0</v>
      </c>
      <c r="T13" t="s">
        <v>248</v>
      </c>
      <c r="U13" t="s">
        <v>248</v>
      </c>
      <c r="V13">
        <v>15</v>
      </c>
      <c r="W13">
        <v>31</v>
      </c>
      <c r="X13">
        <v>9999999</v>
      </c>
      <c r="Y13">
        <v>0</v>
      </c>
      <c r="Z13">
        <v>0</v>
      </c>
      <c r="AA13" t="s">
        <v>248</v>
      </c>
      <c r="AB13" t="s">
        <v>248</v>
      </c>
      <c r="AC13">
        <v>20</v>
      </c>
    </row>
    <row r="14" spans="1:30" x14ac:dyDescent="0.25">
      <c r="A14">
        <v>3600</v>
      </c>
      <c r="B14" t="s">
        <v>361</v>
      </c>
      <c r="C14" s="9" t="s">
        <v>394</v>
      </c>
      <c r="D14" t="s">
        <v>329</v>
      </c>
      <c r="E14" t="s">
        <v>247</v>
      </c>
      <c r="F14">
        <v>1</v>
      </c>
      <c r="G14">
        <v>999999999</v>
      </c>
      <c r="H14">
        <v>0</v>
      </c>
      <c r="I14">
        <v>0</v>
      </c>
      <c r="J14">
        <v>0</v>
      </c>
      <c r="K14" t="s">
        <v>307</v>
      </c>
      <c r="L14" t="s">
        <v>307</v>
      </c>
      <c r="M14" t="s">
        <v>248</v>
      </c>
      <c r="N14" t="s">
        <v>368</v>
      </c>
      <c r="O14" t="s">
        <v>248</v>
      </c>
    </row>
    <row r="15" spans="1:30" x14ac:dyDescent="0.25">
      <c r="A15">
        <v>3030</v>
      </c>
      <c r="B15" t="s">
        <v>364</v>
      </c>
      <c r="C15" s="9" t="s">
        <v>395</v>
      </c>
      <c r="D15" t="s">
        <v>329</v>
      </c>
      <c r="E15" t="s">
        <v>247</v>
      </c>
      <c r="F15">
        <v>1</v>
      </c>
      <c r="G15">
        <v>999999999</v>
      </c>
      <c r="H15">
        <v>0</v>
      </c>
      <c r="I15">
        <v>0</v>
      </c>
      <c r="J15">
        <v>0</v>
      </c>
      <c r="K15" t="s">
        <v>248</v>
      </c>
      <c r="L15" t="s">
        <v>307</v>
      </c>
      <c r="M15" t="s">
        <v>248</v>
      </c>
      <c r="N15" t="s">
        <v>369</v>
      </c>
      <c r="O15" t="s">
        <v>248</v>
      </c>
    </row>
    <row r="16" spans="1:30" x14ac:dyDescent="0.25">
      <c r="A16">
        <v>3310</v>
      </c>
      <c r="B16" t="s">
        <v>370</v>
      </c>
      <c r="C16" s="9" t="s">
        <v>396</v>
      </c>
      <c r="D16" t="s">
        <v>334</v>
      </c>
      <c r="E16" t="s">
        <v>247</v>
      </c>
      <c r="F16">
        <v>0</v>
      </c>
      <c r="G16">
        <v>9999999</v>
      </c>
      <c r="H16">
        <v>1.5E-3</v>
      </c>
      <c r="I16">
        <v>1500</v>
      </c>
      <c r="J16">
        <v>0</v>
      </c>
      <c r="K16" t="s">
        <v>248</v>
      </c>
      <c r="L16" t="s">
        <v>248</v>
      </c>
      <c r="M16" t="s">
        <v>248</v>
      </c>
      <c r="N16" t="s">
        <v>371</v>
      </c>
      <c r="O16" t="s">
        <v>248</v>
      </c>
    </row>
    <row r="17" spans="1:30" x14ac:dyDescent="0.25">
      <c r="A17">
        <v>1200</v>
      </c>
      <c r="B17" t="s">
        <v>381</v>
      </c>
      <c r="C17" s="9" t="s">
        <v>397</v>
      </c>
      <c r="D17" t="s">
        <v>329</v>
      </c>
      <c r="E17" t="s">
        <v>247</v>
      </c>
      <c r="F17">
        <v>0</v>
      </c>
      <c r="G17">
        <v>999999999</v>
      </c>
      <c r="I17">
        <v>0</v>
      </c>
      <c r="J17">
        <v>0</v>
      </c>
      <c r="K17" t="s">
        <v>248</v>
      </c>
      <c r="L17" t="s">
        <v>248</v>
      </c>
      <c r="M17" t="s">
        <v>248</v>
      </c>
      <c r="O17" t="s">
        <v>248</v>
      </c>
    </row>
    <row r="18" spans="1:30" x14ac:dyDescent="0.25">
      <c r="A18">
        <v>1200</v>
      </c>
      <c r="B18" t="s">
        <v>382</v>
      </c>
      <c r="C18" s="9" t="s">
        <v>398</v>
      </c>
      <c r="D18" t="s">
        <v>329</v>
      </c>
      <c r="E18" t="s">
        <v>247</v>
      </c>
      <c r="F18">
        <v>0</v>
      </c>
      <c r="G18">
        <v>999999999</v>
      </c>
      <c r="I18">
        <v>0</v>
      </c>
      <c r="J18">
        <v>0</v>
      </c>
      <c r="K18" t="s">
        <v>248</v>
      </c>
      <c r="L18" t="s">
        <v>248</v>
      </c>
      <c r="M18" t="s">
        <v>248</v>
      </c>
      <c r="O18" t="s">
        <v>248</v>
      </c>
    </row>
    <row r="19" spans="1:30" x14ac:dyDescent="0.25">
      <c r="A19">
        <v>1200</v>
      </c>
      <c r="B19" t="s">
        <v>399</v>
      </c>
      <c r="C19" s="9" t="s">
        <v>400</v>
      </c>
      <c r="D19" t="s">
        <v>329</v>
      </c>
      <c r="E19" t="s">
        <v>247</v>
      </c>
      <c r="F19">
        <v>0</v>
      </c>
      <c r="G19">
        <v>999999999</v>
      </c>
      <c r="I19">
        <v>0</v>
      </c>
      <c r="J19">
        <v>0</v>
      </c>
      <c r="K19" t="s">
        <v>307</v>
      </c>
      <c r="L19" t="s">
        <v>307</v>
      </c>
      <c r="O19" t="s">
        <v>307</v>
      </c>
    </row>
    <row r="20" spans="1:30" x14ac:dyDescent="0.25">
      <c r="A20">
        <v>1300</v>
      </c>
      <c r="B20" t="s">
        <v>401</v>
      </c>
      <c r="C20" s="9" t="s">
        <v>400</v>
      </c>
      <c r="D20" t="s">
        <v>329</v>
      </c>
      <c r="E20" t="s">
        <v>247</v>
      </c>
      <c r="F20">
        <v>0</v>
      </c>
      <c r="G20">
        <v>999999999</v>
      </c>
      <c r="I20">
        <v>0</v>
      </c>
      <c r="J20">
        <v>0</v>
      </c>
      <c r="K20" t="s">
        <v>307</v>
      </c>
      <c r="L20" t="s">
        <v>307</v>
      </c>
      <c r="O20" t="s">
        <v>307</v>
      </c>
    </row>
    <row r="21" spans="1:30" x14ac:dyDescent="0.25">
      <c r="A21">
        <v>3600</v>
      </c>
      <c r="B21" t="s">
        <v>402</v>
      </c>
      <c r="C21" s="9" t="s">
        <v>403</v>
      </c>
      <c r="D21" t="s">
        <v>249</v>
      </c>
      <c r="E21" t="s">
        <v>247</v>
      </c>
      <c r="F21">
        <v>1</v>
      </c>
      <c r="G21">
        <v>999999999</v>
      </c>
      <c r="H21">
        <v>0</v>
      </c>
      <c r="I21">
        <v>0</v>
      </c>
      <c r="J21">
        <v>0</v>
      </c>
      <c r="K21" t="s">
        <v>307</v>
      </c>
      <c r="L21" t="s">
        <v>307</v>
      </c>
      <c r="N21" t="s">
        <v>365</v>
      </c>
      <c r="O21" t="s">
        <v>307</v>
      </c>
    </row>
    <row r="22" spans="1:30" x14ac:dyDescent="0.25">
      <c r="A22">
        <v>1200</v>
      </c>
      <c r="B22" t="s">
        <v>406</v>
      </c>
      <c r="C22" s="9" t="s">
        <v>404</v>
      </c>
      <c r="D22" t="s">
        <v>329</v>
      </c>
      <c r="E22" t="s">
        <v>247</v>
      </c>
      <c r="F22">
        <v>0</v>
      </c>
      <c r="G22">
        <v>999999999</v>
      </c>
      <c r="I22">
        <v>0</v>
      </c>
      <c r="J22">
        <v>0</v>
      </c>
      <c r="K22" t="s">
        <v>248</v>
      </c>
      <c r="L22" t="s">
        <v>248</v>
      </c>
      <c r="O22" t="s">
        <v>248</v>
      </c>
      <c r="P22">
        <v>0</v>
      </c>
      <c r="Q22">
        <v>999999999</v>
      </c>
      <c r="R22">
        <v>0</v>
      </c>
      <c r="S22">
        <v>0</v>
      </c>
      <c r="T22" t="s">
        <v>307</v>
      </c>
      <c r="U22" t="s">
        <v>307</v>
      </c>
      <c r="W22">
        <v>0</v>
      </c>
      <c r="X22">
        <v>999999999</v>
      </c>
      <c r="Y22">
        <v>0</v>
      </c>
      <c r="Z22">
        <v>0</v>
      </c>
      <c r="AA22" t="s">
        <v>307</v>
      </c>
      <c r="AB22" t="s">
        <v>307</v>
      </c>
      <c r="AD22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6" sqref="A6"/>
    </sheetView>
  </sheetViews>
  <sheetFormatPr defaultRowHeight="15" x14ac:dyDescent="0.25"/>
  <cols>
    <col min="1" max="1" width="24.28515625" bestFit="1" customWidth="1"/>
    <col min="2" max="2" width="54.28515625" bestFit="1" customWidth="1"/>
    <col min="3" max="4" width="16.28515625" bestFit="1" customWidth="1"/>
    <col min="5" max="5" width="16.85546875" bestFit="1" customWidth="1"/>
    <col min="6" max="6" width="22.7109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2"/>
  <sheetViews>
    <sheetView workbookViewId="0">
      <selection activeCell="L20" sqref="L20:L26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18.28515625" bestFit="1" customWidth="1"/>
  </cols>
  <sheetData>
    <row r="1" spans="1:13" x14ac:dyDescent="0.25">
      <c r="A1" t="s">
        <v>200</v>
      </c>
      <c r="B1" t="s">
        <v>201</v>
      </c>
      <c r="C1" t="s">
        <v>250</v>
      </c>
      <c r="E1" t="s">
        <v>251</v>
      </c>
      <c r="F1" t="s">
        <v>252</v>
      </c>
      <c r="G1" t="s">
        <v>253</v>
      </c>
      <c r="I1" t="s">
        <v>18</v>
      </c>
      <c r="L1" t="s">
        <v>314</v>
      </c>
    </row>
    <row r="2" spans="1:13" x14ac:dyDescent="0.25">
      <c r="A2">
        <v>1200</v>
      </c>
      <c r="B2" t="s">
        <v>202</v>
      </c>
      <c r="C2" t="str">
        <f>CONCATENATE(A2," - ",B2)</f>
        <v>1200 - Inbound/Advanced Storage</v>
      </c>
      <c r="E2" t="s">
        <v>254</v>
      </c>
      <c r="F2" s="9" t="s">
        <v>372</v>
      </c>
      <c r="G2">
        <f ca="1">YEAR(TODAY())</f>
        <v>2018</v>
      </c>
      <c r="I2" t="s">
        <v>329</v>
      </c>
      <c r="L2" t="s">
        <v>316</v>
      </c>
      <c r="M2" t="s">
        <v>203</v>
      </c>
    </row>
    <row r="3" spans="1:13" x14ac:dyDescent="0.25">
      <c r="A3">
        <v>1300</v>
      </c>
      <c r="B3" t="s">
        <v>203</v>
      </c>
      <c r="C3" t="str">
        <f t="shared" ref="C3:C24" si="0">CONCATENATE(A3," - ",B3)</f>
        <v>1300 - Container Storage</v>
      </c>
      <c r="E3" t="s">
        <v>255</v>
      </c>
      <c r="F3" s="9" t="s">
        <v>373</v>
      </c>
      <c r="G3">
        <f ca="1">YEAR(TODAY())+1</f>
        <v>2019</v>
      </c>
      <c r="I3" t="s">
        <v>330</v>
      </c>
      <c r="L3" t="s">
        <v>315</v>
      </c>
      <c r="M3" t="s">
        <v>204</v>
      </c>
    </row>
    <row r="4" spans="1:13" x14ac:dyDescent="0.25">
      <c r="A4">
        <v>1400</v>
      </c>
      <c r="B4" t="s">
        <v>204</v>
      </c>
      <c r="C4" t="str">
        <f t="shared" si="0"/>
        <v>1400 - Railcar Storage</v>
      </c>
      <c r="E4" t="s">
        <v>256</v>
      </c>
      <c r="F4" s="9" t="s">
        <v>374</v>
      </c>
      <c r="G4">
        <f ca="1">YEAR(TODAY())+2</f>
        <v>2020</v>
      </c>
      <c r="I4" t="s">
        <v>331</v>
      </c>
      <c r="K4" t="s">
        <v>319</v>
      </c>
      <c r="L4" t="s">
        <v>317</v>
      </c>
      <c r="M4" t="s">
        <v>318</v>
      </c>
    </row>
    <row r="5" spans="1:13" x14ac:dyDescent="0.25">
      <c r="A5">
        <v>1401</v>
      </c>
      <c r="B5" t="s">
        <v>205</v>
      </c>
      <c r="C5" t="str">
        <f t="shared" si="0"/>
        <v>1401 - Railcar Weighing</v>
      </c>
      <c r="E5" t="s">
        <v>257</v>
      </c>
      <c r="F5" s="9" t="s">
        <v>375</v>
      </c>
      <c r="G5">
        <f ca="1">YEAR(TODAY())+3</f>
        <v>2021</v>
      </c>
      <c r="I5" t="s">
        <v>332</v>
      </c>
      <c r="K5" t="s">
        <v>321</v>
      </c>
      <c r="L5" t="s">
        <v>320</v>
      </c>
      <c r="M5" t="s">
        <v>328</v>
      </c>
    </row>
    <row r="6" spans="1:13" x14ac:dyDescent="0.25">
      <c r="A6">
        <v>1402</v>
      </c>
      <c r="B6" t="s">
        <v>206</v>
      </c>
      <c r="C6" t="str">
        <f t="shared" si="0"/>
        <v>1402 - Railcar Switch</v>
      </c>
      <c r="E6" t="s">
        <v>258</v>
      </c>
      <c r="F6" s="9" t="s">
        <v>376</v>
      </c>
      <c r="G6">
        <f ca="1">YEAR(TODAY())+4</f>
        <v>2022</v>
      </c>
      <c r="I6" t="s">
        <v>333</v>
      </c>
      <c r="K6" t="s">
        <v>322</v>
      </c>
      <c r="L6" t="s">
        <v>325</v>
      </c>
      <c r="M6" t="s">
        <v>328</v>
      </c>
    </row>
    <row r="7" spans="1:13" x14ac:dyDescent="0.25">
      <c r="A7">
        <v>3030</v>
      </c>
      <c r="B7" t="s">
        <v>213</v>
      </c>
      <c r="C7" t="str">
        <f t="shared" si="0"/>
        <v>3030 - Seabulk Income</v>
      </c>
      <c r="E7" t="s">
        <v>259</v>
      </c>
      <c r="F7" s="9" t="s">
        <v>377</v>
      </c>
      <c r="G7">
        <f ca="1">YEAR(TODAY())+5</f>
        <v>2023</v>
      </c>
      <c r="I7" t="s">
        <v>334</v>
      </c>
      <c r="K7" t="s">
        <v>323</v>
      </c>
      <c r="L7" t="s">
        <v>326</v>
      </c>
      <c r="M7" t="s">
        <v>328</v>
      </c>
    </row>
    <row r="8" spans="1:13" x14ac:dyDescent="0.25">
      <c r="A8">
        <v>3310</v>
      </c>
      <c r="B8" t="s">
        <v>207</v>
      </c>
      <c r="C8" t="str">
        <f t="shared" si="0"/>
        <v>3310 - FFS Packaging</v>
      </c>
      <c r="E8" t="s">
        <v>260</v>
      </c>
      <c r="F8" s="9" t="s">
        <v>378</v>
      </c>
      <c r="G8">
        <f ca="1">YEAR(TODAY())+6</f>
        <v>2024</v>
      </c>
      <c r="I8" t="s">
        <v>335</v>
      </c>
      <c r="K8" t="s">
        <v>324</v>
      </c>
      <c r="L8" t="s">
        <v>327</v>
      </c>
      <c r="M8" t="s">
        <v>328</v>
      </c>
    </row>
    <row r="9" spans="1:13" x14ac:dyDescent="0.25">
      <c r="A9">
        <v>3330</v>
      </c>
      <c r="B9" t="s">
        <v>208</v>
      </c>
      <c r="C9" t="str">
        <f t="shared" si="0"/>
        <v>3330 - Misc FFS Income</v>
      </c>
      <c r="E9" t="s">
        <v>261</v>
      </c>
      <c r="F9" s="9" t="s">
        <v>379</v>
      </c>
      <c r="G9">
        <f ca="1">YEAR(TODAY())+7</f>
        <v>2025</v>
      </c>
      <c r="I9" t="s">
        <v>336</v>
      </c>
    </row>
    <row r="10" spans="1:13" x14ac:dyDescent="0.25">
      <c r="A10">
        <v>3560</v>
      </c>
      <c r="B10" t="s">
        <v>209</v>
      </c>
      <c r="C10" t="str">
        <f t="shared" si="0"/>
        <v>3560 - Loose Loading</v>
      </c>
      <c r="E10" t="s">
        <v>262</v>
      </c>
      <c r="F10" s="9" t="s">
        <v>380</v>
      </c>
      <c r="G10">
        <f ca="1">YEAR(TODAY())+8</f>
        <v>2026</v>
      </c>
      <c r="I10" t="s">
        <v>337</v>
      </c>
    </row>
    <row r="11" spans="1:13" x14ac:dyDescent="0.25">
      <c r="A11">
        <v>3600</v>
      </c>
      <c r="B11" t="s">
        <v>210</v>
      </c>
      <c r="C11" t="str">
        <f t="shared" si="0"/>
        <v>3600 - Handling Income</v>
      </c>
      <c r="E11" t="s">
        <v>263</v>
      </c>
      <c r="F11" s="9">
        <v>10</v>
      </c>
      <c r="G11">
        <f ca="1">YEAR(TODAY())+9</f>
        <v>2027</v>
      </c>
      <c r="I11" t="s">
        <v>338</v>
      </c>
    </row>
    <row r="12" spans="1:13" x14ac:dyDescent="0.25">
      <c r="A12">
        <v>3640</v>
      </c>
      <c r="B12" t="s">
        <v>211</v>
      </c>
      <c r="C12" t="str">
        <f t="shared" si="0"/>
        <v>3640 - Misc Handling Income</v>
      </c>
      <c r="E12" t="s">
        <v>264</v>
      </c>
      <c r="F12" s="9">
        <v>11</v>
      </c>
      <c r="G12">
        <f ca="1">YEAR(TODAY())+10</f>
        <v>2028</v>
      </c>
      <c r="I12" t="s">
        <v>339</v>
      </c>
    </row>
    <row r="13" spans="1:13" x14ac:dyDescent="0.25">
      <c r="A13">
        <v>3700</v>
      </c>
      <c r="B13" t="s">
        <v>212</v>
      </c>
      <c r="C13" t="str">
        <f t="shared" si="0"/>
        <v>3700 - Supplies</v>
      </c>
      <c r="E13" t="s">
        <v>265</v>
      </c>
      <c r="F13" s="9">
        <v>12</v>
      </c>
      <c r="G13">
        <f ca="1">YEAR(TODAY())+11</f>
        <v>2029</v>
      </c>
      <c r="I13" t="s">
        <v>340</v>
      </c>
    </row>
    <row r="14" spans="1:13" x14ac:dyDescent="0.25">
      <c r="A14">
        <v>3752</v>
      </c>
      <c r="B14" t="s">
        <v>214</v>
      </c>
      <c r="C14" t="str">
        <f t="shared" si="0"/>
        <v>3752 - Misc Seabulk Income</v>
      </c>
      <c r="F14" s="9">
        <v>13</v>
      </c>
      <c r="I14" t="s">
        <v>341</v>
      </c>
    </row>
    <row r="15" spans="1:13" x14ac:dyDescent="0.25">
      <c r="A15">
        <v>3765</v>
      </c>
      <c r="B15" t="s">
        <v>215</v>
      </c>
      <c r="C15" t="str">
        <f t="shared" si="0"/>
        <v>3765 - Valve Packaging</v>
      </c>
      <c r="F15" s="9">
        <v>14</v>
      </c>
      <c r="I15" t="s">
        <v>342</v>
      </c>
    </row>
    <row r="16" spans="1:13" x14ac:dyDescent="0.25">
      <c r="A16">
        <v>3770</v>
      </c>
      <c r="B16" t="s">
        <v>216</v>
      </c>
      <c r="C16" t="str">
        <f t="shared" si="0"/>
        <v>3770 - Box Packaging</v>
      </c>
      <c r="F16" s="9">
        <v>15</v>
      </c>
      <c r="I16" t="s">
        <v>343</v>
      </c>
    </row>
    <row r="17" spans="1:9" x14ac:dyDescent="0.25">
      <c r="A17">
        <v>3776</v>
      </c>
      <c r="B17" t="s">
        <v>217</v>
      </c>
      <c r="C17" t="str">
        <f t="shared" si="0"/>
        <v>3776 - Bulktruck Filling</v>
      </c>
      <c r="F17" s="9">
        <v>16</v>
      </c>
      <c r="I17" t="s">
        <v>344</v>
      </c>
    </row>
    <row r="18" spans="1:9" x14ac:dyDescent="0.25">
      <c r="A18">
        <v>3794</v>
      </c>
      <c r="B18" t="s">
        <v>219</v>
      </c>
      <c r="C18" t="str">
        <f t="shared" si="0"/>
        <v>3794 - Repack Bags into Bulk</v>
      </c>
      <c r="F18" s="9">
        <v>17</v>
      </c>
      <c r="I18" t="s">
        <v>345</v>
      </c>
    </row>
    <row r="19" spans="1:9" x14ac:dyDescent="0.25">
      <c r="A19">
        <v>3795</v>
      </c>
      <c r="B19" t="s">
        <v>220</v>
      </c>
      <c r="C19" t="str">
        <f t="shared" si="0"/>
        <v>3795 - Repack Supersack into Bulk</v>
      </c>
      <c r="F19" s="9">
        <v>18</v>
      </c>
    </row>
    <row r="20" spans="1:9" x14ac:dyDescent="0.25">
      <c r="A20">
        <v>3796</v>
      </c>
      <c r="B20" t="s">
        <v>221</v>
      </c>
      <c r="C20" t="str">
        <f t="shared" si="0"/>
        <v>3796 - Repack Boxes into Bulk</v>
      </c>
      <c r="F20" s="9">
        <v>19</v>
      </c>
    </row>
    <row r="21" spans="1:9" x14ac:dyDescent="0.25">
      <c r="A21">
        <v>4400</v>
      </c>
      <c r="B21" t="s">
        <v>222</v>
      </c>
      <c r="C21" t="str">
        <f t="shared" si="0"/>
        <v>4400 - Administration Revenue</v>
      </c>
      <c r="F21" s="9">
        <v>20</v>
      </c>
    </row>
    <row r="22" spans="1:9" x14ac:dyDescent="0.25">
      <c r="A22">
        <v>5100</v>
      </c>
      <c r="B22" t="s">
        <v>223</v>
      </c>
      <c r="C22" t="str">
        <f t="shared" si="0"/>
        <v>5100 - Freight Bill Backs</v>
      </c>
      <c r="F22" s="9">
        <v>21</v>
      </c>
    </row>
    <row r="23" spans="1:9" x14ac:dyDescent="0.25">
      <c r="A23">
        <v>5200</v>
      </c>
      <c r="B23" t="s">
        <v>224</v>
      </c>
      <c r="C23" t="str">
        <f t="shared" si="0"/>
        <v>5200 - Container transport</v>
      </c>
      <c r="F23" s="9">
        <v>22</v>
      </c>
    </row>
    <row r="24" spans="1:9" x14ac:dyDescent="0.25">
      <c r="A24">
        <v>6800</v>
      </c>
      <c r="B24" t="s">
        <v>218</v>
      </c>
      <c r="C24" t="str">
        <f t="shared" si="0"/>
        <v>6800 - Cleaning Charges</v>
      </c>
      <c r="F24" s="9">
        <v>23</v>
      </c>
    </row>
    <row r="25" spans="1:9" x14ac:dyDescent="0.25">
      <c r="F25" s="9">
        <v>24</v>
      </c>
    </row>
    <row r="26" spans="1:9" x14ac:dyDescent="0.25">
      <c r="F26" s="9">
        <v>25</v>
      </c>
    </row>
    <row r="27" spans="1:9" x14ac:dyDescent="0.25">
      <c r="F27" s="9">
        <v>26</v>
      </c>
    </row>
    <row r="28" spans="1:9" x14ac:dyDescent="0.25">
      <c r="F28" s="9">
        <v>27</v>
      </c>
    </row>
    <row r="29" spans="1:9" x14ac:dyDescent="0.25">
      <c r="F29" s="9">
        <v>28</v>
      </c>
    </row>
    <row r="30" spans="1:9" x14ac:dyDescent="0.25">
      <c r="F30" s="9">
        <v>29</v>
      </c>
    </row>
    <row r="31" spans="1:9" x14ac:dyDescent="0.25">
      <c r="F31" s="9">
        <v>30</v>
      </c>
    </row>
    <row r="32" spans="1:9" x14ac:dyDescent="0.25">
      <c r="F32" s="9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14" sqref="B14"/>
    </sheetView>
  </sheetViews>
  <sheetFormatPr defaultRowHeight="15" x14ac:dyDescent="0.25"/>
  <cols>
    <col min="1" max="1" width="11.28515625" bestFit="1" customWidth="1"/>
    <col min="2" max="2" width="14.7109375" bestFit="1" customWidth="1"/>
    <col min="4" max="4" width="11.28515625" bestFit="1" customWidth="1"/>
    <col min="5" max="5" width="14.7109375" bestFit="1" customWidth="1"/>
  </cols>
  <sheetData>
    <row r="1" spans="1:2" x14ac:dyDescent="0.25">
      <c r="A1" t="s">
        <v>228</v>
      </c>
      <c r="B1" t="s">
        <v>229</v>
      </c>
    </row>
    <row r="2" spans="1:2" x14ac:dyDescent="0.25">
      <c r="A2" t="s">
        <v>230</v>
      </c>
      <c r="B2" t="s">
        <v>231</v>
      </c>
    </row>
    <row r="3" spans="1:2" x14ac:dyDescent="0.25">
      <c r="A3" t="s">
        <v>289</v>
      </c>
      <c r="B3" t="s">
        <v>232</v>
      </c>
    </row>
    <row r="4" spans="1:2" x14ac:dyDescent="0.25">
      <c r="A4" t="s">
        <v>233</v>
      </c>
      <c r="B4" t="s">
        <v>234</v>
      </c>
    </row>
    <row r="5" spans="1:2" x14ac:dyDescent="0.25">
      <c r="A5" t="s">
        <v>235</v>
      </c>
      <c r="B5" t="s">
        <v>236</v>
      </c>
    </row>
    <row r="6" spans="1:2" x14ac:dyDescent="0.25">
      <c r="A6" t="s">
        <v>237</v>
      </c>
      <c r="B6" t="s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"/>
  <sheetViews>
    <sheetView zoomScaleNormal="100" workbookViewId="0">
      <selection activeCell="A6" sqref="A6:A91"/>
    </sheetView>
  </sheetViews>
  <sheetFormatPr defaultRowHeight="15" x14ac:dyDescent="0.25"/>
  <cols>
    <col min="1" max="1" width="21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48</v>
      </c>
      <c r="B1" t="s">
        <v>47</v>
      </c>
      <c r="C1" t="s">
        <v>178</v>
      </c>
      <c r="D1" t="s">
        <v>269</v>
      </c>
      <c r="E1" t="s">
        <v>270</v>
      </c>
      <c r="F1" t="s">
        <v>49</v>
      </c>
      <c r="G1" t="s">
        <v>183</v>
      </c>
      <c r="H1" t="s">
        <v>194</v>
      </c>
      <c r="I1" t="s">
        <v>195</v>
      </c>
      <c r="J1" t="s">
        <v>275</v>
      </c>
      <c r="K1" t="s">
        <v>274</v>
      </c>
      <c r="L1" t="s">
        <v>196</v>
      </c>
    </row>
    <row r="2" spans="1:12" x14ac:dyDescent="0.25">
      <c r="A2" t="s">
        <v>61</v>
      </c>
      <c r="B2" t="s">
        <v>52</v>
      </c>
      <c r="C2" t="s">
        <v>199</v>
      </c>
      <c r="D2" t="s">
        <v>171</v>
      </c>
      <c r="E2" s="5" t="s">
        <v>53</v>
      </c>
      <c r="F2" t="s">
        <v>50</v>
      </c>
      <c r="G2" t="s">
        <v>181</v>
      </c>
      <c r="H2" t="s">
        <v>197</v>
      </c>
      <c r="I2" t="s">
        <v>197</v>
      </c>
      <c r="J2" t="s">
        <v>278</v>
      </c>
      <c r="K2" t="s">
        <v>273</v>
      </c>
      <c r="L2" t="s">
        <v>198</v>
      </c>
    </row>
    <row r="3" spans="1:12" x14ac:dyDescent="0.25">
      <c r="A3" t="s">
        <v>60</v>
      </c>
      <c r="B3" s="5" t="s">
        <v>179</v>
      </c>
      <c r="C3" t="s">
        <v>180</v>
      </c>
      <c r="D3" t="s">
        <v>147</v>
      </c>
      <c r="E3" t="s">
        <v>65</v>
      </c>
      <c r="F3" t="s">
        <v>71</v>
      </c>
      <c r="G3" t="s">
        <v>182</v>
      </c>
      <c r="J3" t="s">
        <v>277</v>
      </c>
      <c r="K3" t="s">
        <v>276</v>
      </c>
    </row>
    <row r="4" spans="1:12" x14ac:dyDescent="0.25">
      <c r="A4" t="s">
        <v>43</v>
      </c>
      <c r="B4" t="s">
        <v>70</v>
      </c>
      <c r="D4" t="s">
        <v>135</v>
      </c>
      <c r="E4" t="s">
        <v>271</v>
      </c>
      <c r="F4" t="s">
        <v>72</v>
      </c>
      <c r="G4" t="s">
        <v>184</v>
      </c>
      <c r="J4" t="s">
        <v>279</v>
      </c>
    </row>
    <row r="5" spans="1:12" x14ac:dyDescent="0.25">
      <c r="A5" t="s">
        <v>59</v>
      </c>
      <c r="B5" t="s">
        <v>83</v>
      </c>
      <c r="D5" s="5" t="s">
        <v>128</v>
      </c>
      <c r="E5" t="s">
        <v>62</v>
      </c>
      <c r="F5" t="s">
        <v>102</v>
      </c>
      <c r="G5" t="s">
        <v>185</v>
      </c>
      <c r="J5" t="s">
        <v>280</v>
      </c>
    </row>
    <row r="6" spans="1:12" x14ac:dyDescent="0.25">
      <c r="B6" t="s">
        <v>85</v>
      </c>
      <c r="D6" t="s">
        <v>151</v>
      </c>
      <c r="E6" t="s">
        <v>66</v>
      </c>
      <c r="F6" t="s">
        <v>112</v>
      </c>
      <c r="G6" t="s">
        <v>186</v>
      </c>
      <c r="J6" t="s">
        <v>281</v>
      </c>
    </row>
    <row r="7" spans="1:12" x14ac:dyDescent="0.25">
      <c r="B7" t="s">
        <v>93</v>
      </c>
      <c r="D7" t="s">
        <v>109</v>
      </c>
      <c r="E7" t="s">
        <v>272</v>
      </c>
      <c r="F7" t="s">
        <v>125</v>
      </c>
      <c r="G7" t="s">
        <v>187</v>
      </c>
      <c r="J7" t="s">
        <v>282</v>
      </c>
    </row>
    <row r="8" spans="1:12" x14ac:dyDescent="0.25">
      <c r="B8" t="s">
        <v>115</v>
      </c>
      <c r="D8" t="s">
        <v>103</v>
      </c>
      <c r="E8" t="s">
        <v>73</v>
      </c>
      <c r="F8" t="s">
        <v>130</v>
      </c>
      <c r="G8" t="s">
        <v>188</v>
      </c>
      <c r="J8" t="s">
        <v>192</v>
      </c>
    </row>
    <row r="9" spans="1:12" x14ac:dyDescent="0.25">
      <c r="B9" t="s">
        <v>118</v>
      </c>
      <c r="D9" t="s">
        <v>80</v>
      </c>
      <c r="E9" t="s">
        <v>190</v>
      </c>
      <c r="F9" t="s">
        <v>131</v>
      </c>
      <c r="G9" t="s">
        <v>189</v>
      </c>
      <c r="J9" t="s">
        <v>283</v>
      </c>
    </row>
    <row r="10" spans="1:12" x14ac:dyDescent="0.25">
      <c r="B10" t="s">
        <v>123</v>
      </c>
      <c r="D10" t="s">
        <v>75</v>
      </c>
      <c r="E10" t="s">
        <v>94</v>
      </c>
      <c r="F10" t="s">
        <v>132</v>
      </c>
      <c r="G10" t="s">
        <v>190</v>
      </c>
      <c r="J10" t="s">
        <v>284</v>
      </c>
    </row>
    <row r="11" spans="1:12" x14ac:dyDescent="0.25">
      <c r="B11" t="s">
        <v>134</v>
      </c>
      <c r="D11" t="s">
        <v>53</v>
      </c>
      <c r="E11" t="s">
        <v>51</v>
      </c>
      <c r="F11" t="s">
        <v>137</v>
      </c>
      <c r="G11" t="s">
        <v>191</v>
      </c>
      <c r="J11" t="s">
        <v>285</v>
      </c>
    </row>
    <row r="12" spans="1:12" x14ac:dyDescent="0.25">
      <c r="B12" t="s">
        <v>139</v>
      </c>
      <c r="E12" t="s">
        <v>126</v>
      </c>
      <c r="F12" t="s">
        <v>157</v>
      </c>
      <c r="G12" t="s">
        <v>192</v>
      </c>
      <c r="J12" t="s">
        <v>286</v>
      </c>
    </row>
    <row r="13" spans="1:12" x14ac:dyDescent="0.25">
      <c r="B13" t="s">
        <v>143</v>
      </c>
      <c r="E13" t="s">
        <v>129</v>
      </c>
      <c r="F13" t="s">
        <v>158</v>
      </c>
      <c r="G13" t="s">
        <v>193</v>
      </c>
      <c r="J13" t="s">
        <v>287</v>
      </c>
    </row>
    <row r="14" spans="1:12" x14ac:dyDescent="0.25">
      <c r="B14" t="s">
        <v>145</v>
      </c>
      <c r="E14" t="s">
        <v>146</v>
      </c>
      <c r="F14" t="s">
        <v>167</v>
      </c>
      <c r="J14" t="s">
        <v>288</v>
      </c>
    </row>
    <row r="15" spans="1:12" x14ac:dyDescent="0.25">
      <c r="B15" t="s">
        <v>148</v>
      </c>
      <c r="E15" t="s">
        <v>170</v>
      </c>
      <c r="F15" t="s">
        <v>175</v>
      </c>
    </row>
    <row r="16" spans="1:12" x14ac:dyDescent="0.25">
      <c r="B16" t="s">
        <v>152</v>
      </c>
    </row>
    <row r="17" spans="2:5" x14ac:dyDescent="0.25">
      <c r="B17" t="s">
        <v>156</v>
      </c>
      <c r="C17" s="5"/>
      <c r="E17" s="5"/>
    </row>
    <row r="18" spans="2:5" x14ac:dyDescent="0.25">
      <c r="B18" t="s">
        <v>165</v>
      </c>
    </row>
    <row r="19" spans="2:5" x14ac:dyDescent="0.25">
      <c r="B19" t="s">
        <v>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1"/>
  <sheetViews>
    <sheetView workbookViewId="0">
      <selection activeCell="A2" sqref="A2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bestFit="1" customWidth="1"/>
    <col min="4" max="4" width="21.140625" bestFit="1" customWidth="1"/>
    <col min="5" max="5" width="11.140625" bestFit="1" customWidth="1"/>
    <col min="6" max="6" width="19.7109375" bestFit="1" customWidth="1"/>
    <col min="7" max="7" width="9.7109375" bestFit="1" customWidth="1"/>
    <col min="8" max="8" width="15.5703125" bestFit="1" customWidth="1"/>
    <col min="9" max="9" width="17.7109375" bestFit="1" customWidth="1"/>
    <col min="10" max="10" width="5.7109375" bestFit="1" customWidth="1"/>
    <col min="11" max="11" width="10.5703125" bestFit="1" customWidth="1"/>
    <col min="12" max="12" width="8.140625" bestFit="1" customWidth="1"/>
    <col min="13" max="13" width="15.710937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5" bestFit="1" customWidth="1"/>
    <col min="19" max="19" width="19.28515625" bestFit="1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14.285156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10.2851562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bestFit="1" customWidth="1"/>
    <col min="32" max="32" width="23.7109375" bestFit="1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bestFit="1" customWidth="1"/>
    <col min="41" max="41" width="13.85546875" bestFit="1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225</v>
      </c>
      <c r="G1" s="1" t="s">
        <v>4</v>
      </c>
      <c r="H1" s="1" t="s">
        <v>226</v>
      </c>
      <c r="I1" s="1" t="s">
        <v>227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22</v>
      </c>
      <c r="Z1" s="1" t="s">
        <v>20</v>
      </c>
      <c r="AA1" s="1" t="s">
        <v>21</v>
      </c>
      <c r="AB1" s="1" t="s">
        <v>23</v>
      </c>
      <c r="AC1" s="2" t="s">
        <v>25</v>
      </c>
      <c r="AD1" s="2" t="s">
        <v>26</v>
      </c>
      <c r="AE1" s="2" t="s">
        <v>24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2" t="s">
        <v>32</v>
      </c>
      <c r="AL1" s="3" t="s">
        <v>33</v>
      </c>
      <c r="AM1" s="3" t="s">
        <v>41</v>
      </c>
      <c r="AN1" s="3" t="s">
        <v>34</v>
      </c>
      <c r="AO1" s="3" t="s">
        <v>35</v>
      </c>
      <c r="AP1" s="3" t="s">
        <v>36</v>
      </c>
      <c r="AQ1" s="3" t="s">
        <v>37</v>
      </c>
      <c r="AR1" s="3" t="s">
        <v>38</v>
      </c>
      <c r="AS1" s="3" t="s">
        <v>39</v>
      </c>
      <c r="AT1" s="3" t="s">
        <v>40</v>
      </c>
      <c r="AU1" s="4" t="s"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K1:K86"/>
  <sheetViews>
    <sheetView workbookViewId="0">
      <selection activeCell="D14" sqref="D14"/>
    </sheetView>
  </sheetViews>
  <sheetFormatPr defaultRowHeight="15" x14ac:dyDescent="0.25"/>
  <sheetData>
    <row r="1" spans="11:11" x14ac:dyDescent="0.25">
      <c r="K1" s="5" t="s">
        <v>58</v>
      </c>
    </row>
    <row r="2" spans="11:11" x14ac:dyDescent="0.25">
      <c r="K2" s="5" t="s">
        <v>57</v>
      </c>
    </row>
    <row r="3" spans="11:11" x14ac:dyDescent="0.25">
      <c r="K3" s="5" t="s">
        <v>56</v>
      </c>
    </row>
    <row r="4" spans="11:11" x14ac:dyDescent="0.25">
      <c r="K4" s="5" t="s">
        <v>55</v>
      </c>
    </row>
    <row r="5" spans="11:11" x14ac:dyDescent="0.25">
      <c r="K5" s="5" t="s">
        <v>54</v>
      </c>
    </row>
    <row r="6" spans="11:11" x14ac:dyDescent="0.25">
      <c r="K6" s="5" t="s">
        <v>63</v>
      </c>
    </row>
    <row r="7" spans="11:11" x14ac:dyDescent="0.25">
      <c r="K7" s="5" t="s">
        <v>64</v>
      </c>
    </row>
    <row r="8" spans="11:11" x14ac:dyDescent="0.25">
      <c r="K8" s="5" t="s">
        <v>67</v>
      </c>
    </row>
    <row r="9" spans="11:11" x14ac:dyDescent="0.25">
      <c r="K9" s="5" t="s">
        <v>68</v>
      </c>
    </row>
    <row r="10" spans="11:11" x14ac:dyDescent="0.25">
      <c r="K10" s="5" t="s">
        <v>69</v>
      </c>
    </row>
    <row r="11" spans="11:11" x14ac:dyDescent="0.25">
      <c r="K11" s="5" t="s">
        <v>44</v>
      </c>
    </row>
    <row r="12" spans="11:11" x14ac:dyDescent="0.25">
      <c r="K12" s="5" t="s">
        <v>70</v>
      </c>
    </row>
    <row r="13" spans="11:11" x14ac:dyDescent="0.25">
      <c r="K13" s="5" t="s">
        <v>74</v>
      </c>
    </row>
    <row r="14" spans="11:11" x14ac:dyDescent="0.25">
      <c r="K14" s="5" t="s">
        <v>76</v>
      </c>
    </row>
    <row r="15" spans="11:11" x14ac:dyDescent="0.25">
      <c r="K15" s="5" t="s">
        <v>77</v>
      </c>
    </row>
    <row r="16" spans="11:11" x14ac:dyDescent="0.25">
      <c r="K16" s="5" t="s">
        <v>78</v>
      </c>
    </row>
    <row r="17" spans="11:11" x14ac:dyDescent="0.25">
      <c r="K17" s="5" t="s">
        <v>79</v>
      </c>
    </row>
    <row r="18" spans="11:11" x14ac:dyDescent="0.25">
      <c r="K18" s="5" t="s">
        <v>86</v>
      </c>
    </row>
    <row r="19" spans="11:11" x14ac:dyDescent="0.25">
      <c r="K19" s="5" t="s">
        <v>87</v>
      </c>
    </row>
    <row r="20" spans="11:11" x14ac:dyDescent="0.25">
      <c r="K20" s="5" t="s">
        <v>88</v>
      </c>
    </row>
    <row r="21" spans="11:11" x14ac:dyDescent="0.25">
      <c r="K21" s="5" t="s">
        <v>81</v>
      </c>
    </row>
    <row r="22" spans="11:11" x14ac:dyDescent="0.25">
      <c r="K22" s="5" t="s">
        <v>82</v>
      </c>
    </row>
    <row r="23" spans="11:11" x14ac:dyDescent="0.25">
      <c r="K23" s="5" t="s">
        <v>83</v>
      </c>
    </row>
    <row r="24" spans="11:11" x14ac:dyDescent="0.25">
      <c r="K24" s="5" t="s">
        <v>84</v>
      </c>
    </row>
    <row r="25" spans="11:11" x14ac:dyDescent="0.25">
      <c r="K25" s="5" t="s">
        <v>89</v>
      </c>
    </row>
    <row r="26" spans="11:11" x14ac:dyDescent="0.25">
      <c r="K26" s="5" t="s">
        <v>91</v>
      </c>
    </row>
    <row r="27" spans="11:11" x14ac:dyDescent="0.25">
      <c r="K27" s="5" t="s">
        <v>90</v>
      </c>
    </row>
    <row r="28" spans="11:11" x14ac:dyDescent="0.25">
      <c r="K28" s="5" t="s">
        <v>92</v>
      </c>
    </row>
    <row r="29" spans="11:11" x14ac:dyDescent="0.25">
      <c r="K29" s="5" t="s">
        <v>95</v>
      </c>
    </row>
    <row r="30" spans="11:11" x14ac:dyDescent="0.25">
      <c r="K30" s="5" t="s">
        <v>96</v>
      </c>
    </row>
    <row r="31" spans="11:11" x14ac:dyDescent="0.25">
      <c r="K31" s="5" t="s">
        <v>97</v>
      </c>
    </row>
    <row r="32" spans="11:11" x14ac:dyDescent="0.25">
      <c r="K32" s="5" t="s">
        <v>98</v>
      </c>
    </row>
    <row r="33" spans="11:11" x14ac:dyDescent="0.25">
      <c r="K33" s="5" t="s">
        <v>99</v>
      </c>
    </row>
    <row r="34" spans="11:11" x14ac:dyDescent="0.25">
      <c r="K34" s="5" t="s">
        <v>100</v>
      </c>
    </row>
    <row r="35" spans="11:11" x14ac:dyDescent="0.25">
      <c r="K35" s="5" t="s">
        <v>101</v>
      </c>
    </row>
    <row r="36" spans="11:11" x14ac:dyDescent="0.25">
      <c r="K36" s="5" t="s">
        <v>104</v>
      </c>
    </row>
    <row r="37" spans="11:11" x14ac:dyDescent="0.25">
      <c r="K37" s="5" t="s">
        <v>105</v>
      </c>
    </row>
    <row r="38" spans="11:11" x14ac:dyDescent="0.25">
      <c r="K38" s="5" t="s">
        <v>106</v>
      </c>
    </row>
    <row r="39" spans="11:11" x14ac:dyDescent="0.25">
      <c r="K39" s="5" t="s">
        <v>108</v>
      </c>
    </row>
    <row r="40" spans="11:11" x14ac:dyDescent="0.25">
      <c r="K40" s="5" t="s">
        <v>107</v>
      </c>
    </row>
    <row r="41" spans="11:11" x14ac:dyDescent="0.25">
      <c r="K41" s="5" t="s">
        <v>110</v>
      </c>
    </row>
    <row r="42" spans="11:11" x14ac:dyDescent="0.25">
      <c r="K42" s="5" t="s">
        <v>111</v>
      </c>
    </row>
    <row r="43" spans="11:11" x14ac:dyDescent="0.25">
      <c r="K43" s="5" t="s">
        <v>113</v>
      </c>
    </row>
    <row r="44" spans="11:11" x14ac:dyDescent="0.25">
      <c r="K44" s="5" t="s">
        <v>114</v>
      </c>
    </row>
    <row r="45" spans="11:11" x14ac:dyDescent="0.25">
      <c r="K45" s="5" t="s">
        <v>116</v>
      </c>
    </row>
    <row r="46" spans="11:11" x14ac:dyDescent="0.25">
      <c r="K46" s="5" t="s">
        <v>117</v>
      </c>
    </row>
    <row r="47" spans="11:11" x14ac:dyDescent="0.25">
      <c r="K47" s="5" t="s">
        <v>118</v>
      </c>
    </row>
    <row r="48" spans="11:11" x14ac:dyDescent="0.25">
      <c r="K48" s="5" t="s">
        <v>119</v>
      </c>
    </row>
    <row r="49" spans="11:11" x14ac:dyDescent="0.25">
      <c r="K49" s="5" t="s">
        <v>120</v>
      </c>
    </row>
    <row r="50" spans="11:11" x14ac:dyDescent="0.25">
      <c r="K50" s="5" t="s">
        <v>121</v>
      </c>
    </row>
    <row r="51" spans="11:11" x14ac:dyDescent="0.25">
      <c r="K51" s="5" t="s">
        <v>122</v>
      </c>
    </row>
    <row r="52" spans="11:11" x14ac:dyDescent="0.25">
      <c r="K52" s="5" t="s">
        <v>124</v>
      </c>
    </row>
    <row r="53" spans="11:11" x14ac:dyDescent="0.25">
      <c r="K53" s="5" t="s">
        <v>127</v>
      </c>
    </row>
    <row r="54" spans="11:11" x14ac:dyDescent="0.25">
      <c r="K54" s="5" t="s">
        <v>133</v>
      </c>
    </row>
    <row r="55" spans="11:11" x14ac:dyDescent="0.25">
      <c r="K55" s="5" t="s">
        <v>134</v>
      </c>
    </row>
    <row r="56" spans="11:11" x14ac:dyDescent="0.25">
      <c r="K56" s="5" t="s">
        <v>136</v>
      </c>
    </row>
    <row r="57" spans="11:11" x14ac:dyDescent="0.25">
      <c r="K57" s="5" t="s">
        <v>138</v>
      </c>
    </row>
    <row r="58" spans="11:11" x14ac:dyDescent="0.25">
      <c r="K58" s="5" t="s">
        <v>140</v>
      </c>
    </row>
    <row r="59" spans="11:11" x14ac:dyDescent="0.25">
      <c r="K59" s="5" t="s">
        <v>141</v>
      </c>
    </row>
    <row r="60" spans="11:11" x14ac:dyDescent="0.25">
      <c r="K60" s="5" t="s">
        <v>142</v>
      </c>
    </row>
    <row r="61" spans="11:11" x14ac:dyDescent="0.25">
      <c r="K61" s="5" t="s">
        <v>143</v>
      </c>
    </row>
    <row r="62" spans="11:11" x14ac:dyDescent="0.25">
      <c r="K62" s="5" t="s">
        <v>144</v>
      </c>
    </row>
    <row r="63" spans="11:11" x14ac:dyDescent="0.25">
      <c r="K63" s="5" t="s">
        <v>149</v>
      </c>
    </row>
    <row r="64" spans="11:11" x14ac:dyDescent="0.25">
      <c r="K64" s="5" t="s">
        <v>150</v>
      </c>
    </row>
    <row r="65" spans="11:11" x14ac:dyDescent="0.25">
      <c r="K65" s="5" t="s">
        <v>152</v>
      </c>
    </row>
    <row r="66" spans="11:11" x14ac:dyDescent="0.25">
      <c r="K66" s="5" t="s">
        <v>153</v>
      </c>
    </row>
    <row r="67" spans="11:11" x14ac:dyDescent="0.25">
      <c r="K67" s="5" t="s">
        <v>154</v>
      </c>
    </row>
    <row r="68" spans="11:11" x14ac:dyDescent="0.25">
      <c r="K68" s="5" t="s">
        <v>155</v>
      </c>
    </row>
    <row r="69" spans="11:11" x14ac:dyDescent="0.25">
      <c r="K69" s="5" t="s">
        <v>156</v>
      </c>
    </row>
    <row r="70" spans="11:11" x14ac:dyDescent="0.25">
      <c r="K70" s="5" t="s">
        <v>158</v>
      </c>
    </row>
    <row r="71" spans="11:11" x14ac:dyDescent="0.25">
      <c r="K71" s="5" t="s">
        <v>159</v>
      </c>
    </row>
    <row r="72" spans="11:11" x14ac:dyDescent="0.25">
      <c r="K72" s="5" t="s">
        <v>160</v>
      </c>
    </row>
    <row r="73" spans="11:11" x14ac:dyDescent="0.25">
      <c r="K73" s="5" t="s">
        <v>161</v>
      </c>
    </row>
    <row r="74" spans="11:11" x14ac:dyDescent="0.25">
      <c r="K74" s="5" t="s">
        <v>162</v>
      </c>
    </row>
    <row r="75" spans="11:11" x14ac:dyDescent="0.25">
      <c r="K75" s="5" t="s">
        <v>163</v>
      </c>
    </row>
    <row r="76" spans="11:11" x14ac:dyDescent="0.25">
      <c r="K76" s="5" t="s">
        <v>164</v>
      </c>
    </row>
    <row r="77" spans="11:11" x14ac:dyDescent="0.25">
      <c r="K77" s="5" t="s">
        <v>166</v>
      </c>
    </row>
    <row r="78" spans="11:11" x14ac:dyDescent="0.25">
      <c r="K78" s="5" t="s">
        <v>168</v>
      </c>
    </row>
    <row r="79" spans="11:11" x14ac:dyDescent="0.25">
      <c r="K79" s="5" t="s">
        <v>169</v>
      </c>
    </row>
    <row r="80" spans="11:11" x14ac:dyDescent="0.25">
      <c r="K80" s="5" t="s">
        <v>177</v>
      </c>
    </row>
    <row r="81" spans="11:11" x14ac:dyDescent="0.25">
      <c r="K81" s="5" t="s">
        <v>172</v>
      </c>
    </row>
    <row r="82" spans="11:11" x14ac:dyDescent="0.25">
      <c r="K82" s="5" t="s">
        <v>173</v>
      </c>
    </row>
    <row r="83" spans="11:11" x14ac:dyDescent="0.25">
      <c r="K83" s="5" t="s">
        <v>174</v>
      </c>
    </row>
    <row r="84" spans="11:11" x14ac:dyDescent="0.25">
      <c r="K84" s="5" t="s">
        <v>176</v>
      </c>
    </row>
    <row r="85" spans="11:11" x14ac:dyDescent="0.25">
      <c r="K85" s="5" t="s">
        <v>45</v>
      </c>
    </row>
    <row r="86" spans="11:11" x14ac:dyDescent="0.25">
      <c r="K86" s="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Home</vt:lpstr>
      <vt:lpstr>RateOverview</vt:lpstr>
      <vt:lpstr>OverviewPage</vt:lpstr>
      <vt:lpstr>Rules</vt:lpstr>
      <vt:lpstr>ActivityCodes</vt:lpstr>
      <vt:lpstr>SalesNames</vt:lpstr>
      <vt:lpstr>CustomerNames</vt:lpstr>
      <vt:lpstr>XMLData</vt:lpstr>
      <vt:lpstr>Sheet1</vt:lpstr>
      <vt:lpstr>Day</vt:lpstr>
      <vt:lpstr>Month</vt:lpstr>
      <vt:lpstr>RateUnitCode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2018-10-11T21:45:32Z</dcterms:modified>
</cp:coreProperties>
</file>