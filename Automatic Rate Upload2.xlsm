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-us-hpt-data\Datashares\Share US BSG\07  Personal folders\Julia Moon\13 Invoicing\Automatic Rates Excel\Backups\AutomaticInvoicingForm\"/>
    </mc:Choice>
  </mc:AlternateContent>
  <bookViews>
    <workbookView xWindow="0" yWindow="0" windowWidth="20490" windowHeight="7050" tabRatio="722" activeTab="2"/>
  </bookViews>
  <sheets>
    <sheet name="Home" sheetId="1" r:id="rId1"/>
    <sheet name="RateOverview" sheetId="7" state="hidden" r:id="rId2"/>
    <sheet name="OverviewPage" sheetId="15" r:id="rId3"/>
    <sheet name="XMLData" sheetId="3" r:id="rId4"/>
    <sheet name="Invoicing" sheetId="14" r:id="rId5"/>
    <sheet name="ActivityCodes" sheetId="6" r:id="rId6"/>
    <sheet name="RateOptions" sheetId="2" r:id="rId7"/>
    <sheet name="SalesNames" sheetId="5" r:id="rId8"/>
    <sheet name="CustomerNames" sheetId="4" r:id="rId9"/>
    <sheet name="XML Data Backup 1" sheetId="10" r:id="rId10"/>
    <sheet name="OverviewBackup" sheetId="13" r:id="rId11"/>
  </sheets>
  <externalReferences>
    <externalReference r:id="rId12"/>
  </externalReferences>
  <definedNames>
    <definedName name="_xlnm._FilterDatabase" localSheetId="3" hidden="1">XMLData!$A$1:$AV$83</definedName>
    <definedName name="ActCodesList">OFFSET(ActivityCodes!$C$1,1,0,COUNTA(ActivityCodes!$C:$C)-1,1)</definedName>
    <definedName name="CustomerNames">OFFSET([1]SetupCustomer!$A$1,1,0,COUNTA([1]SetupCustomer!$A:$A)-1,1)</definedName>
    <definedName name="Day">ActivityCodes!$F$2:$F$32</definedName>
    <definedName name="DLT" localSheetId="2">OFFSET(CustomerNames!$C$1,1,0,COUNTA(CustomerNames!$C:$C)-1,1)</definedName>
    <definedName name="DLT">OFFSET(CustomerNames!$C$1,1,0,COUNTA(CustomerNames!$C:$C)-1,1)</definedName>
    <definedName name="KGC" localSheetId="2">OFFSET(CustomerNames!$A$1,1,0,COUNTA(CustomerNames!$A:$A)-1,1)</definedName>
    <definedName name="KGC">OFFSET(CustomerNames!$A$1,1,0,COUNTA(CustomerNames!$A:$A)-1,1)</definedName>
    <definedName name="ListActDescr">OFFSET(RateOverview!$A$1,1,0,COUNTA(RateOverview!$A:$A)-1,2)</definedName>
    <definedName name="ListRange">OFFSET(RateOverview!$C$1,1,0,COUNTA(RateOverview!$C:$C)-1,1)</definedName>
    <definedName name="LOU" localSheetId="2">OFFSET(CustomerNames!$B$1,1,0,COUNTA(CustomerNames!$B:$B)-1,1)</definedName>
    <definedName name="LOU">OFFSET(CustomerNames!$B$1,1,0,COUNTA(CustomerNames!$B:$B)-1,1)</definedName>
    <definedName name="MIW" localSheetId="2">OFFSET(CustomerNames!$F$1,1,0,COUNTA(CustomerNames!$F:$F)-1,1)</definedName>
    <definedName name="MIW">OFFSET(CustomerNames!$F$1,1,0,COUNTA(CustomerNames!$F:$F)-1,1)</definedName>
    <definedName name="Month">ActivityCodes!$E$2:$E$13</definedName>
    <definedName name="NOE" localSheetId="2">OFFSET(CustomerNames!$D$1,1,0,COUNTA(CustomerNames!$D:$D)-1,1)</definedName>
    <definedName name="NOE">OFFSET(CustomerNames!$D$1,1,0,COUNTA(CustomerNames!$D:$D)-1,1)</definedName>
    <definedName name="NOR" localSheetId="2">OFFSET(CustomerNames!$E$1,1,0,COUNTA(CustomerNames!$E:$E)-1,1)</definedName>
    <definedName name="NOR">OFFSET(CustomerNames!$E$1,1,0,COUNTA(CustomerNames!$E:$E)-1,1)</definedName>
    <definedName name="overactcode">OFFSET(OverviewPage!$A$1,1,0,COUNTA(OverviewPage!$A:$A)-1,1)</definedName>
    <definedName name="overcomments">OFFSET(OverviewPage!$N$1,1,0,COUNTA(OverviewPage!$A:$A)-1,1)</definedName>
    <definedName name="overcurrency">OFFSET(OverviewPage!$E$1,1,0,COUNTA(OverviewPage!$E:$E)-1,1)</definedName>
    <definedName name="overdescrip">OFFSET(OverviewPage!$B$1,1,0,COUNTA(OverviewPage!$B:$B)-1,1)</definedName>
    <definedName name="overgrad">OFFSET(OverviewPage!$M$1,1,0,COUNTA(OverviewPage!$M:$M)-1,1)</definedName>
    <definedName name="overmax">OFFSET(OverviewPage!$J$1,1,0,COUNTA(OverviewPage!$J:$J)-1,1)</definedName>
    <definedName name="overmax2">OFFSET(OverviewPage!$S$1,1,0,COUNTA(OverviewPage!$A:$A)-1,1)</definedName>
    <definedName name="overmax3">OFFSET(OverviewPage!$Z$1,1,0,COUNTA(OverviewPage!$A:$A)-1,1)</definedName>
    <definedName name="overmin">OFFSET(OverviewPage!$I$1,1,0,COUNTA(OverviewPage!$I:$I)-1,1)</definedName>
    <definedName name="overmin2">OFFSET(OverviewPage!$R$1,1,0,COUNTA(OverviewPage!$A:$A)-1,1)</definedName>
    <definedName name="overmin3">OFFSET(OverviewPage!$Y$1,1,0,COUNTA(OverviewPage!$A:$A)-1,1)</definedName>
    <definedName name="overrangefrom">OFFSET(OverviewPage!$F$1,1,0,COUNTA(OverviewPage!$F:$F)-1,1)</definedName>
    <definedName name="overrangefrom2">OFFSET(OverviewPage!$P$1,1,0,COUNTA(OverviewPage!$A:$A)-1,1)</definedName>
    <definedName name="overrangefrom3">OFFSET(OverviewPage!$W$1,1,0,COUNTA(OverviewPage!$A:$A)-1,1)</definedName>
    <definedName name="overrangeto">OFFSET(OverviewPage!$G$1,1,0,COUNTA(OverviewPage!$G:$G)-1,1)</definedName>
    <definedName name="overrangeto2">OFFSET(OverviewPage!$Q$1,1,0,COUNTA(OverviewPage!$A:$A)-1,1)</definedName>
    <definedName name="overrangeto3">OFFSET(OverviewPage!$X$1,1,0,COUNTA(OverviewPage!$A:$A)-1,1)</definedName>
    <definedName name="overrangeunit">OFFSET(OverviewPage!$D$1,1,0,COUNTA(OverviewPage!$D:$D)-1,1)</definedName>
    <definedName name="overrate">OFFSET(OverviewPage!$H$1,1,0,COUNTA(OverviewPage!$H:$H)-1,1)</definedName>
    <definedName name="overrate2">OFFSET(OverviewPage!$V$1,1,0,COUNTA(OverviewPage!$A:$A)-1,1)</definedName>
    <definedName name="overrate3">OFFSET(OverviewPage!$AC$1,1,0,COUNTA(OverviewPage!$A:$A)-1,1)</definedName>
    <definedName name="overrealestate">OFFSET(OverviewPage!$O$1,1,0,COUNTA(OverviewPage!$O:$O)-1,1)</definedName>
    <definedName name="overvaliduntil">OFFSET(OverviewPage!$C$1,1,0,COUNTA(OverviewPage!$C:$C)-1,1)</definedName>
    <definedName name="overvariable">OFFSET(OverviewPage!$K$1,1,0,COUNTA(OverviewPage!$K:$K)-1,1)</definedName>
    <definedName name="overvariable2">OFFSET(OverviewPage!$T$1,1,0,COUNTA(OverviewPage!$A:$A)-1,1)</definedName>
    <definedName name="overvariable3">OFFSET(OverviewPage!$AA$1,1,0,COUNTA(OverviewPage!$A:$A)-1,1)</definedName>
    <definedName name="OverviewforBox">OFFSET(OverviewPage!$A$1,1,0,COUNTA(OverviewPage!$A:$A)-1,29)</definedName>
    <definedName name="overzero">OFFSET(OverviewPage!$L$1,1,0,COUNTA(OverviewPage!$L:$L)-1,1)</definedName>
    <definedName name="overzero2">OFFSET(OverviewPage!$U$1,1,0,COUNTA(OverviewPage!$A:$A)-1,1)</definedName>
    <definedName name="overzero3">OFFSET(OverviewPage!$AB$1,1,0,COUNTA(OverviewPage!$A:$A)-1,1)</definedName>
    <definedName name="PlatoUsers">OFFSET([1]SetupList!$C$1,1,0,COUNTA([1]SetupList!$C:$C)-1,1)</definedName>
    <definedName name="PlatoUsersEmails">OFFSET([1]SetupList!$C$1,1,0,COUNTA([1]SetupList!$C:$C)-1,2)</definedName>
    <definedName name="Rates1200">OFFSET(RateOptions!$B$1,0,0,COUNTA(RateOptions!$B:$B)-0,1)</definedName>
    <definedName name="Rates1300">OFFSET(RateOptions!$D$1,0,0,COUNTA(RateOptions!$D:$D)-0,1)</definedName>
    <definedName name="Rates1400">OFFSET(RateOptions!$F$1,0,0,COUNTA(RateOptions!$F:$F)-0,1)</definedName>
    <definedName name="Rates1401">OFFSET(RateOptions!$H$1,0,0,COUNTA(RateOptions!$H:$H)-0,1)</definedName>
    <definedName name="Rates1402">OFFSET(RateOptions!$J$1,0,0,COUNTA(RateOptions!$J:$J)-0,1)</definedName>
    <definedName name="Rates1403">OFFSET(RateOptions!$L$1,0,0,COUNTA(RateOptions!$L:$L)-0,1)</definedName>
    <definedName name="Rates3030">OFFSET(RateOptions!$N$1,0,0,COUNTA(RateOptions!$N:$N)-0,1)</definedName>
    <definedName name="Rates3201">OFFSET(RateOptions!$P$1,0,0,COUNTA(RateOptions!$P:$P)-0,1)</definedName>
    <definedName name="Rates3310">OFFSET(RateOptions!$R$1,0,0,COUNTA(RateOptions!$R:$R)-0,1)</definedName>
    <definedName name="Rates3330">OFFSET(RateOptions!$R$13,0,0,COUNTA(RateOptions!$T:$T)-0,1)</definedName>
    <definedName name="Rates3470">OFFSET(RateOptions!$V$1,0,0,COUNTA(RateOptions!$V:$V)-0,1)</definedName>
    <definedName name="Rates3560">OFFSET(RateOptions!$X$1,0,0,COUNTA(RateOptions!$X:$X)-0,1)</definedName>
    <definedName name="Rates3600">OFFSET(RateOptions!$Z$1,0,0,COUNTA(RateOptions!$Z:$Z)-0,1)</definedName>
    <definedName name="Rates3640">OFFSET(RateOptions!$AB$1,0,0,COUNTA(RateOptions!$AB:$AB)-0,1)</definedName>
    <definedName name="Rates3700">OFFSET(RateOptions!$AD$1,0,0,COUNTA(RateOptions!$AD:$AD)-0,1)</definedName>
    <definedName name="Rates3701">OFFSET(RateOptions!$AF$1,0,0,COUNTA(RateOptions!$AF:$AF)-0,1)</definedName>
    <definedName name="Rates3752">OFFSET(RateOptions!$AH$1,0,0,COUNTA(RateOptions!$AH:$AH)-0,1)</definedName>
    <definedName name="Rates3755">OFFSET(RateOptions!$AJ$1,0,0,COUNTA(RateOptions!$AJ:$AJ)-0,1)</definedName>
    <definedName name="Rates3765">OFFSET(RateOptions!$AL$1,0,0,COUNTA(RateOptions!$AL:$AL)-0,1)</definedName>
    <definedName name="Rates3770">OFFSET(RateOptions!$AN$1,0,0,COUNTA(RateOptions!$AN:$AN)-0,1)</definedName>
    <definedName name="Rates3775">OFFSET(RateOptions!$AP$1,0,0,COUNTA(RateOptions!$AP:$AP)-0,1)</definedName>
    <definedName name="Rates3776">OFFSET(RateOptions!$AR$1,0,0,COUNTA(RateOptions!$AR:$AR)-0,1)</definedName>
    <definedName name="Rates3794">OFFSET(RateOptions!$AT$1,0,0,COUNTA(RateOptions!$AT:$AT)-0,1)</definedName>
    <definedName name="Rates3795">OFFSET(RateOptions!$AV$1,0,0,COUNTA(RateOptions!$AV:$AV)-0,1)</definedName>
    <definedName name="Rates3796">OFFSET(RateOptions!$AX$1,0,0,COUNTA(RateOptions!$AX:$AX)-0,1)</definedName>
    <definedName name="Rates3801">OFFSET(RateOptions!$AZ$1,0,0,COUNTA(RateOptions!$AZ:$AZ)-0,1)</definedName>
    <definedName name="Rates3802">OFFSET(RateOptions!$BB$1,0,0,COUNTA(RateOptions!$BB:$BB)-0,1)</definedName>
    <definedName name="Rates3803">OFFSET(RateOptions!$BD$1,0,0,COUNTA(RateOptions!$BD:$BD)-0,1)</definedName>
    <definedName name="Rates3805">OFFSET(RateOptions!$BF$1,0,0,COUNTA(RateOptions!$BF:$BF)-0,1)</definedName>
    <definedName name="Rates3806">OFFSET(RateOptions!$BH$1,0,0,COUNTA(RateOptions!$BH:$BH)-0,1)</definedName>
    <definedName name="Rates3814">OFFSET(RateOptions!$BJ$1,0,0,COUNTA(RateOptions!$BJ:$BJ)-0,1)</definedName>
    <definedName name="Rates4400">OFFSET(RateOptions!$BL$1,0,0,COUNTA(RateOptions!$BL:$BL)-0,1)</definedName>
    <definedName name="Rates5100">OFFSET(RateOptions!$BN$1,0,0,COUNTA(RateOptions!$BN:$BN)-0,1)</definedName>
    <definedName name="Rates5200">OFFSET(RateOptions!$BP$1,0,0,COUNTA(RateOptions!$BP:$BP)-0,1)</definedName>
    <definedName name="RateUnitCode">ActivityCodes!$I$2:$I$13</definedName>
    <definedName name="RealEstateCodes">ActivityCodes!$M$2:$M$6</definedName>
    <definedName name="SalesApprovEmails">OFFSET([1]SetupList!$E$1,1,0,COUNTA([1]SetupList!$E:$E)-1,2)</definedName>
    <definedName name="SalesApprovers">OFFSET([1]SetupList!$E$1,1,0,COUNTA([1]SetupList!$E:$E)-1,1)</definedName>
    <definedName name="SalesFullNames">OFFSET(SalesNames!$A$1,1,0,COUNTA(SalesNames!$A:$A)-1,2)</definedName>
    <definedName name="SalesList">OFFSET([1]SetupList!$A$1,1,0,COUNTA([1]SetupList!$A:$A)-1,1)</definedName>
    <definedName name="SalesNames">OFFSET(SalesNames!$A$1,1,0,COUNTA(SalesNames!$A:$A)-1,1)</definedName>
    <definedName name="SalesRepEmails">OFFSET([1]SetupList!$A$1,1,0,COUNTA([1]SetupList!$A:$A)-1,2)</definedName>
    <definedName name="SpecDLT">OFFSET(CustomerNames!$I$1,1,0,COUNTA(CustomerNames!$I:$I)-1,1)</definedName>
    <definedName name="SpecKGC">OFFSET(CustomerNames!$G$1,1,0,COUNTA(CustomerNames!$G:$G)-1,1)</definedName>
    <definedName name="SpecLOU">OFFSET(CustomerNames!$H$1,1,0,COUNTA(CustomerNames!$H:$H)-1,1)</definedName>
    <definedName name="SpecMIW">OFFSET(CustomerNames!$L$1,1,0,COUNTA(CustomerNames!$L:$L)-1,1)</definedName>
    <definedName name="SpecNOE">OFFSET(CustomerNames!$J$1,1,0,COUNTA(CustomerNames!$J:$J)-1,1)</definedName>
    <definedName name="SpecNOR">OFFSET(CustomerNames!$K$1,1,0,COUNTA(CustomerNames!$K:$K)-1,1)</definedName>
    <definedName name="XMLDataTable">OFFSET(XMLData!$A$1,1,0,COUNTA(XMLData!$D:$D)-1,47)</definedName>
    <definedName name="Year">ActivityCodes!$G$2:$G$13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6" l="1"/>
  <c r="C30" i="6"/>
  <c r="C32" i="6" l="1"/>
  <c r="C29" i="6"/>
  <c r="C28" i="6"/>
  <c r="C27" i="6"/>
  <c r="C22" i="6"/>
  <c r="C19" i="6"/>
  <c r="C9" i="6"/>
  <c r="C12" i="6"/>
  <c r="C20" i="6"/>
  <c r="C7" i="6" l="1"/>
  <c r="C16" i="6" l="1"/>
  <c r="M3" i="6" l="1"/>
  <c r="M4" i="6"/>
  <c r="M5" i="6"/>
  <c r="M6" i="6"/>
  <c r="M2" i="6"/>
  <c r="AU95" i="10"/>
  <c r="W95" i="10"/>
  <c r="O95" i="10"/>
  <c r="J95" i="10"/>
  <c r="G95" i="10"/>
  <c r="H95" i="10" s="1"/>
  <c r="AU94" i="10"/>
  <c r="W94" i="10"/>
  <c r="O94" i="10"/>
  <c r="J94" i="10"/>
  <c r="G94" i="10"/>
  <c r="H94" i="10" s="1"/>
  <c r="AU93" i="10"/>
  <c r="W93" i="10"/>
  <c r="O93" i="10"/>
  <c r="J93" i="10"/>
  <c r="G93" i="10"/>
  <c r="H93" i="10" s="1"/>
  <c r="AU92" i="10"/>
  <c r="W92" i="10"/>
  <c r="O92" i="10"/>
  <c r="J92" i="10"/>
  <c r="G92" i="10"/>
  <c r="H92" i="10" s="1"/>
  <c r="AU91" i="10"/>
  <c r="W91" i="10"/>
  <c r="O91" i="10"/>
  <c r="J91" i="10"/>
  <c r="G91" i="10"/>
  <c r="H91" i="10" s="1"/>
  <c r="AU90" i="10"/>
  <c r="W90" i="10"/>
  <c r="O90" i="10"/>
  <c r="J90" i="10"/>
  <c r="G90" i="10"/>
  <c r="H90" i="10" s="1"/>
  <c r="AU89" i="10"/>
  <c r="W89" i="10"/>
  <c r="O89" i="10"/>
  <c r="J89" i="10"/>
  <c r="G89" i="10"/>
  <c r="H89" i="10" s="1"/>
  <c r="AU88" i="10"/>
  <c r="W88" i="10"/>
  <c r="O88" i="10"/>
  <c r="J88" i="10"/>
  <c r="G88" i="10"/>
  <c r="H88" i="10" s="1"/>
  <c r="AU87" i="10"/>
  <c r="W87" i="10"/>
  <c r="O87" i="10"/>
  <c r="J87" i="10"/>
  <c r="G87" i="10"/>
  <c r="H87" i="10" s="1"/>
  <c r="AU86" i="10"/>
  <c r="W86" i="10"/>
  <c r="O86" i="10"/>
  <c r="J86" i="10"/>
  <c r="G86" i="10"/>
  <c r="H86" i="10" s="1"/>
  <c r="AU85" i="10"/>
  <c r="W85" i="10"/>
  <c r="O85" i="10"/>
  <c r="J85" i="10"/>
  <c r="G85" i="10"/>
  <c r="H85" i="10" s="1"/>
  <c r="AU84" i="10"/>
  <c r="W84" i="10"/>
  <c r="O84" i="10"/>
  <c r="J84" i="10"/>
  <c r="G84" i="10"/>
  <c r="H84" i="10" s="1"/>
  <c r="AU83" i="10"/>
  <c r="W83" i="10"/>
  <c r="O83" i="10"/>
  <c r="J83" i="10"/>
  <c r="G83" i="10"/>
  <c r="H83" i="10" s="1"/>
  <c r="AU82" i="10"/>
  <c r="W82" i="10"/>
  <c r="O82" i="10"/>
  <c r="J82" i="10"/>
  <c r="G82" i="10"/>
  <c r="H82" i="10" s="1"/>
  <c r="AU81" i="10"/>
  <c r="W81" i="10"/>
  <c r="O81" i="10"/>
  <c r="J81" i="10"/>
  <c r="G81" i="10"/>
  <c r="H81" i="10" s="1"/>
  <c r="AU80" i="10"/>
  <c r="W80" i="10"/>
  <c r="O80" i="10"/>
  <c r="J80" i="10"/>
  <c r="G80" i="10"/>
  <c r="H80" i="10" s="1"/>
  <c r="AU79" i="10"/>
  <c r="W79" i="10"/>
  <c r="O79" i="10"/>
  <c r="J79" i="10"/>
  <c r="G79" i="10"/>
  <c r="H79" i="10" s="1"/>
  <c r="AU78" i="10"/>
  <c r="W78" i="10"/>
  <c r="O78" i="10"/>
  <c r="J78" i="10"/>
  <c r="G78" i="10"/>
  <c r="H78" i="10" s="1"/>
  <c r="AU77" i="10"/>
  <c r="W77" i="10"/>
  <c r="O77" i="10"/>
  <c r="J77" i="10"/>
  <c r="G77" i="10"/>
  <c r="H77" i="10" s="1"/>
  <c r="AU76" i="10"/>
  <c r="W76" i="10"/>
  <c r="O76" i="10"/>
  <c r="J76" i="10"/>
  <c r="G76" i="10"/>
  <c r="H76" i="10" s="1"/>
  <c r="AU75" i="10"/>
  <c r="W75" i="10"/>
  <c r="O75" i="10"/>
  <c r="J75" i="10"/>
  <c r="G75" i="10"/>
  <c r="H75" i="10" s="1"/>
  <c r="AU74" i="10"/>
  <c r="W74" i="10"/>
  <c r="O74" i="10"/>
  <c r="J74" i="10"/>
  <c r="G74" i="10"/>
  <c r="H74" i="10" s="1"/>
  <c r="AU73" i="10"/>
  <c r="W73" i="10"/>
  <c r="O73" i="10"/>
  <c r="J73" i="10"/>
  <c r="G73" i="10"/>
  <c r="H73" i="10" s="1"/>
  <c r="AU72" i="10"/>
  <c r="W72" i="10"/>
  <c r="O72" i="10"/>
  <c r="J72" i="10"/>
  <c r="G72" i="10"/>
  <c r="H72" i="10" s="1"/>
  <c r="AU71" i="10"/>
  <c r="W71" i="10"/>
  <c r="O71" i="10"/>
  <c r="J71" i="10"/>
  <c r="G71" i="10"/>
  <c r="H71" i="10" s="1"/>
  <c r="AU70" i="10"/>
  <c r="W70" i="10"/>
  <c r="O70" i="10"/>
  <c r="J70" i="10"/>
  <c r="G70" i="10"/>
  <c r="H70" i="10" s="1"/>
  <c r="AU69" i="10"/>
  <c r="W69" i="10"/>
  <c r="O69" i="10"/>
  <c r="J69" i="10"/>
  <c r="G69" i="10"/>
  <c r="H69" i="10" s="1"/>
  <c r="AU68" i="10"/>
  <c r="W68" i="10"/>
  <c r="O68" i="10"/>
  <c r="J68" i="10"/>
  <c r="G68" i="10"/>
  <c r="H68" i="10" s="1"/>
  <c r="AU67" i="10"/>
  <c r="W67" i="10"/>
  <c r="O67" i="10"/>
  <c r="J67" i="10"/>
  <c r="G67" i="10"/>
  <c r="H67" i="10" s="1"/>
  <c r="AU66" i="10"/>
  <c r="W66" i="10"/>
  <c r="O66" i="10"/>
  <c r="J66" i="10"/>
  <c r="G66" i="10"/>
  <c r="H66" i="10" s="1"/>
  <c r="AU65" i="10"/>
  <c r="W65" i="10"/>
  <c r="O65" i="10"/>
  <c r="J65" i="10"/>
  <c r="G65" i="10"/>
  <c r="H65" i="10" s="1"/>
  <c r="AU64" i="10"/>
  <c r="W64" i="10"/>
  <c r="O64" i="10"/>
  <c r="J64" i="10"/>
  <c r="G64" i="10"/>
  <c r="H64" i="10" s="1"/>
  <c r="AU63" i="10"/>
  <c r="W63" i="10"/>
  <c r="O63" i="10"/>
  <c r="J63" i="10"/>
  <c r="G63" i="10"/>
  <c r="H63" i="10" s="1"/>
  <c r="AU62" i="10"/>
  <c r="W62" i="10"/>
  <c r="O62" i="10"/>
  <c r="J62" i="10"/>
  <c r="G62" i="10"/>
  <c r="H62" i="10" s="1"/>
  <c r="AU61" i="10"/>
  <c r="W61" i="10"/>
  <c r="O61" i="10"/>
  <c r="J61" i="10"/>
  <c r="G61" i="10"/>
  <c r="H61" i="10" s="1"/>
  <c r="AU60" i="10"/>
  <c r="W60" i="10"/>
  <c r="O60" i="10"/>
  <c r="J60" i="10"/>
  <c r="G60" i="10"/>
  <c r="H60" i="10" s="1"/>
  <c r="AU59" i="10"/>
  <c r="W59" i="10"/>
  <c r="O59" i="10"/>
  <c r="J59" i="10"/>
  <c r="G59" i="10"/>
  <c r="H59" i="10" s="1"/>
  <c r="AU58" i="10"/>
  <c r="W58" i="10"/>
  <c r="O58" i="10"/>
  <c r="J58" i="10"/>
  <c r="G58" i="10"/>
  <c r="H58" i="10" s="1"/>
  <c r="AU57" i="10"/>
  <c r="W57" i="10"/>
  <c r="O57" i="10"/>
  <c r="J57" i="10"/>
  <c r="G57" i="10"/>
  <c r="H57" i="10" s="1"/>
  <c r="AU56" i="10"/>
  <c r="W56" i="10"/>
  <c r="O56" i="10"/>
  <c r="J56" i="10"/>
  <c r="G56" i="10"/>
  <c r="H56" i="10" s="1"/>
  <c r="AU55" i="10"/>
  <c r="W55" i="10"/>
  <c r="O55" i="10"/>
  <c r="J55" i="10"/>
  <c r="G55" i="10"/>
  <c r="H55" i="10" s="1"/>
  <c r="AU54" i="10"/>
  <c r="W54" i="10"/>
  <c r="O54" i="10"/>
  <c r="J54" i="10"/>
  <c r="G54" i="10"/>
  <c r="H54" i="10" s="1"/>
  <c r="AU53" i="10"/>
  <c r="W53" i="10"/>
  <c r="O53" i="10"/>
  <c r="J53" i="10"/>
  <c r="G53" i="10"/>
  <c r="H53" i="10" s="1"/>
  <c r="AU52" i="10"/>
  <c r="W52" i="10"/>
  <c r="O52" i="10"/>
  <c r="J52" i="10"/>
  <c r="G52" i="10"/>
  <c r="H52" i="10" s="1"/>
  <c r="AU51" i="10"/>
  <c r="W51" i="10"/>
  <c r="O51" i="10"/>
  <c r="J51" i="10"/>
  <c r="G51" i="10"/>
  <c r="H51" i="10" s="1"/>
  <c r="AU50" i="10"/>
  <c r="W50" i="10"/>
  <c r="O50" i="10"/>
  <c r="J50" i="10"/>
  <c r="G50" i="10"/>
  <c r="H50" i="10" s="1"/>
  <c r="AU49" i="10"/>
  <c r="W49" i="10"/>
  <c r="O49" i="10"/>
  <c r="J49" i="10"/>
  <c r="G49" i="10"/>
  <c r="H49" i="10" s="1"/>
  <c r="AU48" i="10"/>
  <c r="W48" i="10"/>
  <c r="O48" i="10"/>
  <c r="J48" i="10"/>
  <c r="G48" i="10"/>
  <c r="H48" i="10" s="1"/>
  <c r="AU47" i="10"/>
  <c r="W47" i="10"/>
  <c r="O47" i="10"/>
  <c r="J47" i="10"/>
  <c r="G47" i="10"/>
  <c r="H47" i="10" s="1"/>
  <c r="AU46" i="10"/>
  <c r="W46" i="10"/>
  <c r="O46" i="10"/>
  <c r="J46" i="10"/>
  <c r="G46" i="10"/>
  <c r="H46" i="10" s="1"/>
  <c r="AU45" i="10"/>
  <c r="W45" i="10"/>
  <c r="O45" i="10"/>
  <c r="J45" i="10"/>
  <c r="G45" i="10"/>
  <c r="H45" i="10" s="1"/>
  <c r="AU44" i="10"/>
  <c r="W44" i="10"/>
  <c r="O44" i="10"/>
  <c r="J44" i="10"/>
  <c r="G44" i="10"/>
  <c r="H44" i="10" s="1"/>
  <c r="AU43" i="10"/>
  <c r="W43" i="10"/>
  <c r="O43" i="10"/>
  <c r="J43" i="10"/>
  <c r="G43" i="10"/>
  <c r="H43" i="10" s="1"/>
  <c r="AU42" i="10"/>
  <c r="W42" i="10"/>
  <c r="O42" i="10"/>
  <c r="J42" i="10"/>
  <c r="G42" i="10"/>
  <c r="H42" i="10" s="1"/>
  <c r="AU41" i="10"/>
  <c r="W41" i="10"/>
  <c r="O41" i="10"/>
  <c r="J41" i="10"/>
  <c r="G41" i="10"/>
  <c r="H41" i="10" s="1"/>
  <c r="AU40" i="10"/>
  <c r="W40" i="10"/>
  <c r="O40" i="10"/>
  <c r="J40" i="10"/>
  <c r="G40" i="10"/>
  <c r="H40" i="10" s="1"/>
  <c r="AU39" i="10"/>
  <c r="W39" i="10"/>
  <c r="O39" i="10"/>
  <c r="J39" i="10"/>
  <c r="G39" i="10"/>
  <c r="H39" i="10" s="1"/>
  <c r="AU38" i="10"/>
  <c r="W38" i="10"/>
  <c r="O38" i="10"/>
  <c r="J38" i="10"/>
  <c r="G38" i="10"/>
  <c r="H38" i="10" s="1"/>
  <c r="AU37" i="10"/>
  <c r="W37" i="10"/>
  <c r="O37" i="10"/>
  <c r="J37" i="10"/>
  <c r="G37" i="10"/>
  <c r="H37" i="10" s="1"/>
  <c r="AU36" i="10"/>
  <c r="W36" i="10"/>
  <c r="O36" i="10"/>
  <c r="J36" i="10"/>
  <c r="G36" i="10"/>
  <c r="H36" i="10" s="1"/>
  <c r="AU35" i="10"/>
  <c r="W35" i="10"/>
  <c r="O35" i="10"/>
  <c r="J35" i="10"/>
  <c r="G35" i="10"/>
  <c r="H35" i="10" s="1"/>
  <c r="AU34" i="10"/>
  <c r="W34" i="10"/>
  <c r="O34" i="10"/>
  <c r="J34" i="10"/>
  <c r="G34" i="10"/>
  <c r="H34" i="10" s="1"/>
  <c r="AU33" i="10"/>
  <c r="W33" i="10"/>
  <c r="O33" i="10"/>
  <c r="J33" i="10"/>
  <c r="G33" i="10"/>
  <c r="H33" i="10" s="1"/>
  <c r="AU32" i="10"/>
  <c r="W32" i="10"/>
  <c r="O32" i="10"/>
  <c r="J32" i="10"/>
  <c r="G32" i="10"/>
  <c r="H32" i="10" s="1"/>
  <c r="AU31" i="10"/>
  <c r="W31" i="10"/>
  <c r="O31" i="10"/>
  <c r="J31" i="10"/>
  <c r="G31" i="10"/>
  <c r="H31" i="10" s="1"/>
  <c r="AU30" i="10"/>
  <c r="W30" i="10"/>
  <c r="O30" i="10"/>
  <c r="J30" i="10"/>
  <c r="G30" i="10"/>
  <c r="H30" i="10" s="1"/>
  <c r="AU29" i="10"/>
  <c r="W29" i="10"/>
  <c r="O29" i="10"/>
  <c r="J29" i="10"/>
  <c r="G29" i="10"/>
  <c r="H29" i="10" s="1"/>
  <c r="AU28" i="10"/>
  <c r="W28" i="10"/>
  <c r="O28" i="10"/>
  <c r="J28" i="10"/>
  <c r="G28" i="10"/>
  <c r="H28" i="10" s="1"/>
  <c r="AU27" i="10"/>
  <c r="W27" i="10"/>
  <c r="O27" i="10"/>
  <c r="J27" i="10"/>
  <c r="G27" i="10"/>
  <c r="H27" i="10" s="1"/>
  <c r="AU26" i="10"/>
  <c r="W26" i="10"/>
  <c r="O26" i="10"/>
  <c r="J26" i="10"/>
  <c r="G26" i="10"/>
  <c r="H26" i="10" s="1"/>
  <c r="AU25" i="10"/>
  <c r="W25" i="10"/>
  <c r="O25" i="10"/>
  <c r="J25" i="10"/>
  <c r="G25" i="10"/>
  <c r="H25" i="10" s="1"/>
  <c r="AU24" i="10"/>
  <c r="W24" i="10"/>
  <c r="O24" i="10"/>
  <c r="J24" i="10"/>
  <c r="G24" i="10"/>
  <c r="H24" i="10" s="1"/>
  <c r="AU23" i="10"/>
  <c r="W23" i="10"/>
  <c r="O23" i="10"/>
  <c r="J23" i="10"/>
  <c r="G23" i="10"/>
  <c r="H23" i="10" s="1"/>
  <c r="AU22" i="10"/>
  <c r="W22" i="10"/>
  <c r="O22" i="10"/>
  <c r="J22" i="10"/>
  <c r="G22" i="10"/>
  <c r="H22" i="10" s="1"/>
  <c r="AU21" i="10"/>
  <c r="W21" i="10"/>
  <c r="O21" i="10"/>
  <c r="J21" i="10"/>
  <c r="G21" i="10"/>
  <c r="H21" i="10" s="1"/>
  <c r="AU20" i="10"/>
  <c r="W20" i="10"/>
  <c r="O20" i="10"/>
  <c r="J20" i="10"/>
  <c r="G20" i="10"/>
  <c r="H20" i="10" s="1"/>
  <c r="AU19" i="10"/>
  <c r="W19" i="10"/>
  <c r="O19" i="10"/>
  <c r="J19" i="10"/>
  <c r="G19" i="10"/>
  <c r="H19" i="10" s="1"/>
  <c r="AU18" i="10"/>
  <c r="W18" i="10"/>
  <c r="O18" i="10"/>
  <c r="J18" i="10"/>
  <c r="G18" i="10"/>
  <c r="H18" i="10" s="1"/>
  <c r="AU17" i="10"/>
  <c r="W17" i="10"/>
  <c r="O17" i="10"/>
  <c r="J17" i="10"/>
  <c r="G17" i="10"/>
  <c r="H17" i="10" s="1"/>
  <c r="AU16" i="10"/>
  <c r="W16" i="10"/>
  <c r="O16" i="10"/>
  <c r="J16" i="10"/>
  <c r="G16" i="10"/>
  <c r="H16" i="10" s="1"/>
  <c r="AU15" i="10"/>
  <c r="W15" i="10"/>
  <c r="O15" i="10"/>
  <c r="J15" i="10"/>
  <c r="G15" i="10"/>
  <c r="H15" i="10" s="1"/>
  <c r="AU14" i="10"/>
  <c r="W14" i="10"/>
  <c r="O14" i="10"/>
  <c r="J14" i="10"/>
  <c r="G14" i="10"/>
  <c r="H14" i="10" s="1"/>
  <c r="AU13" i="10"/>
  <c r="W13" i="10"/>
  <c r="O13" i="10"/>
  <c r="J13" i="10"/>
  <c r="G13" i="10"/>
  <c r="H13" i="10" s="1"/>
  <c r="AU12" i="10"/>
  <c r="W12" i="10"/>
  <c r="O12" i="10"/>
  <c r="J12" i="10"/>
  <c r="G12" i="10"/>
  <c r="H12" i="10" s="1"/>
  <c r="AU11" i="10"/>
  <c r="W11" i="10"/>
  <c r="O11" i="10"/>
  <c r="J11" i="10"/>
  <c r="G11" i="10"/>
  <c r="H11" i="10" s="1"/>
  <c r="AU10" i="10"/>
  <c r="W10" i="10"/>
  <c r="O10" i="10"/>
  <c r="J10" i="10"/>
  <c r="G10" i="10"/>
  <c r="H10" i="10" s="1"/>
  <c r="AU9" i="10"/>
  <c r="W9" i="10"/>
  <c r="O9" i="10"/>
  <c r="J9" i="10"/>
  <c r="G9" i="10"/>
  <c r="H9" i="10" s="1"/>
  <c r="AU8" i="10"/>
  <c r="W8" i="10"/>
  <c r="O8" i="10"/>
  <c r="J8" i="10"/>
  <c r="G8" i="10"/>
  <c r="H8" i="10" s="1"/>
  <c r="AU7" i="10"/>
  <c r="W7" i="10"/>
  <c r="O7" i="10"/>
  <c r="J7" i="10"/>
  <c r="G7" i="10"/>
  <c r="H7" i="10" s="1"/>
  <c r="AU6" i="10"/>
  <c r="W6" i="10"/>
  <c r="O6" i="10"/>
  <c r="J6" i="10"/>
  <c r="G6" i="10"/>
  <c r="H6" i="10" s="1"/>
  <c r="AU5" i="10"/>
  <c r="W5" i="10"/>
  <c r="O5" i="10"/>
  <c r="J5" i="10"/>
  <c r="G5" i="10"/>
  <c r="H5" i="10" s="1"/>
  <c r="AU4" i="10"/>
  <c r="W4" i="10"/>
  <c r="O4" i="10"/>
  <c r="J4" i="10"/>
  <c r="G4" i="10"/>
  <c r="H4" i="10" s="1"/>
  <c r="AU3" i="10"/>
  <c r="W3" i="10"/>
  <c r="O3" i="10"/>
  <c r="J3" i="10"/>
  <c r="G3" i="10"/>
  <c r="H3" i="10" s="1"/>
  <c r="AU2" i="10"/>
  <c r="W2" i="10"/>
  <c r="O2" i="10"/>
  <c r="J2" i="10"/>
  <c r="G2" i="10"/>
  <c r="H2" i="10" s="1"/>
  <c r="G13" i="6" l="1"/>
  <c r="G12" i="6"/>
  <c r="G11" i="6"/>
  <c r="G10" i="6"/>
  <c r="G9" i="6"/>
  <c r="G8" i="6"/>
  <c r="G7" i="6"/>
  <c r="G6" i="6"/>
  <c r="G5" i="6"/>
  <c r="G4" i="6"/>
  <c r="G3" i="6"/>
  <c r="G2" i="6"/>
  <c r="C3" i="6" l="1"/>
  <c r="C4" i="6"/>
  <c r="C5" i="6"/>
  <c r="C6" i="6"/>
  <c r="C8" i="6"/>
  <c r="C10" i="6"/>
  <c r="C11" i="6"/>
  <c r="C13" i="6"/>
  <c r="C14" i="6"/>
  <c r="C15" i="6"/>
  <c r="C17" i="6"/>
  <c r="C18" i="6"/>
  <c r="C21" i="6"/>
  <c r="C23" i="6"/>
  <c r="C24" i="6"/>
  <c r="C25" i="6"/>
  <c r="C26" i="6"/>
  <c r="C33" i="6"/>
  <c r="C34" i="6"/>
  <c r="C35" i="6"/>
  <c r="C2" i="6"/>
</calcChain>
</file>

<file path=xl/sharedStrings.xml><?xml version="1.0" encoding="utf-8"?>
<sst xmlns="http://schemas.openxmlformats.org/spreadsheetml/2006/main" count="3149" uniqueCount="669">
  <si>
    <t>Customer</t>
  </si>
  <si>
    <t>Activity Code</t>
  </si>
  <si>
    <t>Activitycode financials</t>
  </si>
  <si>
    <t>Rate Type</t>
  </si>
  <si>
    <t>Level</t>
  </si>
  <si>
    <t>Valid To</t>
  </si>
  <si>
    <t>Range Unit Code</t>
  </si>
  <si>
    <t>Currency Code</t>
  </si>
  <si>
    <t>Calculation</t>
  </si>
  <si>
    <t>Range From</t>
  </si>
  <si>
    <t>Range Until</t>
  </si>
  <si>
    <t>Rate</t>
  </si>
  <si>
    <t>Qty Times to Invoice</t>
  </si>
  <si>
    <t>Minimum</t>
  </si>
  <si>
    <t>Maximum</t>
  </si>
  <si>
    <t>Variable Rate</t>
  </si>
  <si>
    <t>Rate Unit Code</t>
  </si>
  <si>
    <t>Zero Rate</t>
  </si>
  <si>
    <t>comments</t>
  </si>
  <si>
    <t>Graduated Rate</t>
  </si>
  <si>
    <t>Real estate check</t>
  </si>
  <si>
    <t>overruledescripgrad2</t>
  </si>
  <si>
    <t>rangefromgrad2</t>
  </si>
  <si>
    <t>rangeuntilgrad2</t>
  </si>
  <si>
    <t>qty times to invoicegrad2</t>
  </si>
  <si>
    <t>mingrad2</t>
  </si>
  <si>
    <t>maxgrad2</t>
  </si>
  <si>
    <t>variablegrad2</t>
  </si>
  <si>
    <t>zerograd2</t>
  </si>
  <si>
    <t>rategrad2</t>
  </si>
  <si>
    <t>rangefromgrad3</t>
  </si>
  <si>
    <t>overrulgrad3</t>
  </si>
  <si>
    <t>qtytimesgrad3</t>
  </si>
  <si>
    <t>mingrad3</t>
  </si>
  <si>
    <t>maxgrad3</t>
  </si>
  <si>
    <t>variablerategrad3</t>
  </si>
  <si>
    <t>zerorategrad3</t>
  </si>
  <si>
    <t>rategrad3</t>
  </si>
  <si>
    <t>rangeuntilgrad3</t>
  </si>
  <si>
    <t>Graduate rate3</t>
  </si>
  <si>
    <t>ASCHULMANI</t>
  </si>
  <si>
    <t>Channelllc</t>
  </si>
  <si>
    <t>SWM</t>
  </si>
  <si>
    <t>ARKEMA</t>
  </si>
  <si>
    <t>LOU Plato Names</t>
  </si>
  <si>
    <t>KGC Plato Names</t>
  </si>
  <si>
    <t>MIW Plato Names</t>
  </si>
  <si>
    <t>BERRYPLASMW</t>
  </si>
  <si>
    <t>BERRYFD</t>
  </si>
  <si>
    <t>BAMBERPOLYBR</t>
  </si>
  <si>
    <t>AMSTY</t>
  </si>
  <si>
    <t>BERRYPLASTICSGC</t>
  </si>
  <si>
    <t>BAMBERPOLY</t>
  </si>
  <si>
    <t>BACHPOLY</t>
  </si>
  <si>
    <t>AXIALLPVC</t>
  </si>
  <si>
    <t>ATHANORGC</t>
  </si>
  <si>
    <t>ASIACHEM</t>
  </si>
  <si>
    <t>AMOCOPLASTIC</t>
  </si>
  <si>
    <t>ALCONGC</t>
  </si>
  <si>
    <t>BOREALISFD</t>
  </si>
  <si>
    <t>BOREALIS</t>
  </si>
  <si>
    <t>BRASKEMGC</t>
  </si>
  <si>
    <t>ATHANORNJ</t>
  </si>
  <si>
    <t>BRASKEMIMPORTS</t>
  </si>
  <si>
    <t>BRISCO</t>
  </si>
  <si>
    <t>CCTCORP</t>
  </si>
  <si>
    <t>CHALO</t>
  </si>
  <si>
    <t>CHANNELS</t>
  </si>
  <si>
    <t>CHANNELMW</t>
  </si>
  <si>
    <t>CHEMRESMW</t>
  </si>
  <si>
    <t>CHEMRES</t>
  </si>
  <si>
    <t>CHEMTEXGLOBAL</t>
  </si>
  <si>
    <t>CHEVRONPENJ</t>
  </si>
  <si>
    <t>CHEVRONPE</t>
  </si>
  <si>
    <t>CLOROXSERVICES</t>
  </si>
  <si>
    <t>CONTINENTALINDUSTRIESGC</t>
  </si>
  <si>
    <t>BAYERCORP</t>
  </si>
  <si>
    <t>DOWNJ</t>
  </si>
  <si>
    <t>DOWAFFINITY</t>
  </si>
  <si>
    <t>EIDUPONTGC</t>
  </si>
  <si>
    <t>EMERAUDEGC</t>
  </si>
  <si>
    <t>ENPOLGC</t>
  </si>
  <si>
    <t>ENTECPOLY</t>
  </si>
  <si>
    <t>DELSTARTECH</t>
  </si>
  <si>
    <t>DEPSOLTECH</t>
  </si>
  <si>
    <t>DOW</t>
  </si>
  <si>
    <t>EXPOXA</t>
  </si>
  <si>
    <t>EXXONMOBILSEB</t>
  </si>
  <si>
    <t>EXXONMOBILBR</t>
  </si>
  <si>
    <t>EXXONLUB</t>
  </si>
  <si>
    <t>EXXONMOBILBRPPBR</t>
  </si>
  <si>
    <t>EXXONMOBILFD</t>
  </si>
  <si>
    <t>EXXONMOBILPEGC</t>
  </si>
  <si>
    <t>FLEURDELIS</t>
  </si>
  <si>
    <t>FORMPLAS</t>
  </si>
  <si>
    <t>GINITOGC</t>
  </si>
  <si>
    <t>GPLASTICS</t>
  </si>
  <si>
    <t>ICCCHEM</t>
  </si>
  <si>
    <t>ICDA</t>
  </si>
  <si>
    <t>IHBMW</t>
  </si>
  <si>
    <t>INEOSNJ</t>
  </si>
  <si>
    <t>INEOSSTYROLUTION</t>
  </si>
  <si>
    <t>INEOSUSALLC</t>
  </si>
  <si>
    <t>INSUMOSGC</t>
  </si>
  <si>
    <t>ICAIHOU</t>
  </si>
  <si>
    <t>ITOCHU</t>
  </si>
  <si>
    <t>LAUDADIOPOLYMERSNJ</t>
  </si>
  <si>
    <t>LAUDADIOPOLYMERS</t>
  </si>
  <si>
    <t>LONESTARCHEMICALS</t>
  </si>
  <si>
    <t>LYONDELLBASELLMW</t>
  </si>
  <si>
    <t>LYBNONHDPE</t>
  </si>
  <si>
    <t>LYBHDPE</t>
  </si>
  <si>
    <t>MARCOBR</t>
  </si>
  <si>
    <t>MARCO</t>
  </si>
  <si>
    <t>MARUBENIAMER</t>
  </si>
  <si>
    <t>MATRIXPOL</t>
  </si>
  <si>
    <t>MBBARTER</t>
  </si>
  <si>
    <t>MHOLLANDEXPORT</t>
  </si>
  <si>
    <t>MHOL</t>
  </si>
  <si>
    <t>MITSUBISHIINTL</t>
  </si>
  <si>
    <t>MONTACHEMBR</t>
  </si>
  <si>
    <t>MONTACHEM</t>
  </si>
  <si>
    <t>NAELECTRICMW</t>
  </si>
  <si>
    <t>NEXEOSOLUTIONS</t>
  </si>
  <si>
    <t>NEXEOSOL</t>
  </si>
  <si>
    <t>NOBLEAMENJ</t>
  </si>
  <si>
    <t>NOBLEAMEFD</t>
  </si>
  <si>
    <t>NOVACHEMICAL</t>
  </si>
  <si>
    <t>NOVACHEM</t>
  </si>
  <si>
    <t>OSTERMANCOMW</t>
  </si>
  <si>
    <t>OSTERMAN</t>
  </si>
  <si>
    <t>OXYDE</t>
  </si>
  <si>
    <t>PACIFICLTDNJ</t>
  </si>
  <si>
    <t>PACIFICLTD</t>
  </si>
  <si>
    <t>PACORINIMW</t>
  </si>
  <si>
    <t>PACORINIGLOBAL</t>
  </si>
  <si>
    <t>PINNPOLYBR</t>
  </si>
  <si>
    <t>PINNPOLY</t>
  </si>
  <si>
    <t>PJPORTLAND</t>
  </si>
  <si>
    <t>POLYMERCHEMI</t>
  </si>
  <si>
    <t>PMERONAGC</t>
  </si>
  <si>
    <t>POLYQ</t>
  </si>
  <si>
    <t>PPOLYMERSLLCBR</t>
  </si>
  <si>
    <t>PREMIERPOLYNF</t>
  </si>
  <si>
    <t>PREMIERPOLYNJ</t>
  </si>
  <si>
    <t>QUANTUMBR</t>
  </si>
  <si>
    <t>QUANTUMPOLY</t>
  </si>
  <si>
    <t>RAMTECHOVERSEAS</t>
  </si>
  <si>
    <t>MUEHLSTEINNJ</t>
  </si>
  <si>
    <t>MUEHLSTEIN</t>
  </si>
  <si>
    <t>RESIN</t>
  </si>
  <si>
    <t>SABICINNOV</t>
  </si>
  <si>
    <t>SASOLCHEMICAL</t>
  </si>
  <si>
    <t>SHAWPOLYMERS</t>
  </si>
  <si>
    <t>SHAWPOLYMW</t>
  </si>
  <si>
    <t>SNETORUS</t>
  </si>
  <si>
    <t>SOUTHPOLY</t>
  </si>
  <si>
    <t>STARTRAD</t>
  </si>
  <si>
    <t>SUMIKAPOLYMERSGC</t>
  </si>
  <si>
    <t>SUNRISEPLA</t>
  </si>
  <si>
    <t>TAGHLEEFIND</t>
  </si>
  <si>
    <t>THORNTONCT</t>
  </si>
  <si>
    <t>ATOFINABR</t>
  </si>
  <si>
    <t>ATOFINAPP</t>
  </si>
  <si>
    <t>TRADEMARKMW</t>
  </si>
  <si>
    <t>TRADEMARKCORP</t>
  </si>
  <si>
    <t>TRICON</t>
  </si>
  <si>
    <t>VINMARINTFD</t>
  </si>
  <si>
    <t>VINMARINTNJ</t>
  </si>
  <si>
    <t>VINMAREXPORTS</t>
  </si>
  <si>
    <t>WESTLAKEWPC</t>
  </si>
  <si>
    <t>WESTLAKE</t>
  </si>
  <si>
    <t>DUNHILLINC</t>
  </si>
  <si>
    <t>LASTIQUE</t>
  </si>
  <si>
    <t>VINMARINT</t>
  </si>
  <si>
    <t>DLT Plato Names</t>
  </si>
  <si>
    <t>CHANELLLC</t>
  </si>
  <si>
    <t>LYBHDPEDLT</t>
  </si>
  <si>
    <t>ADDIVANTSPEC</t>
  </si>
  <si>
    <t>ARLANXEOGC</t>
  </si>
  <si>
    <t>Spec Chem KGC</t>
  </si>
  <si>
    <t>ASAHIKASEIGC</t>
  </si>
  <si>
    <t>ASCEND</t>
  </si>
  <si>
    <t>CHEMOURS</t>
  </si>
  <si>
    <t>CYTECGC</t>
  </si>
  <si>
    <t>DSM</t>
  </si>
  <si>
    <t>DYNASOL</t>
  </si>
  <si>
    <t>EASTMANCHEMICAL</t>
  </si>
  <si>
    <t>EVONIK</t>
  </si>
  <si>
    <t>FINEORGANICS</t>
  </si>
  <si>
    <t>HEXIONINC</t>
  </si>
  <si>
    <t>Spec Chem LOU</t>
  </si>
  <si>
    <t>Spec Chem DLT</t>
  </si>
  <si>
    <t>Spec Chem MIW</t>
  </si>
  <si>
    <t>NONE</t>
  </si>
  <si>
    <t>Pending</t>
  </si>
  <si>
    <t>DOWPEDLT</t>
  </si>
  <si>
    <t>Code</t>
  </si>
  <si>
    <t>Description</t>
  </si>
  <si>
    <t>Inbound/Advanced Storage</t>
  </si>
  <si>
    <t>Container Storage</t>
  </si>
  <si>
    <t>Railcar Storage</t>
  </si>
  <si>
    <t>Railcar Weighing</t>
  </si>
  <si>
    <t>Railcar Switch</t>
  </si>
  <si>
    <t>FFS Packaging</t>
  </si>
  <si>
    <t>Misc FFS Income</t>
  </si>
  <si>
    <t>Loose Loading</t>
  </si>
  <si>
    <t>Handling Income</t>
  </si>
  <si>
    <t>Misc Handling Income</t>
  </si>
  <si>
    <t>Supplies</t>
  </si>
  <si>
    <t>Seabulk Income</t>
  </si>
  <si>
    <t>Misc Seabulk Income</t>
  </si>
  <si>
    <t>Valve Packaging</t>
  </si>
  <si>
    <t>Box Packaging</t>
  </si>
  <si>
    <t>Bulktruck Filling</t>
  </si>
  <si>
    <t>Repack Bags into Bulk</t>
  </si>
  <si>
    <t>Repack Supersack into Bulk</t>
  </si>
  <si>
    <t>Repack Boxes into Bulk</t>
  </si>
  <si>
    <t>Administration Revenue</t>
  </si>
  <si>
    <t>Freight Bill Backs</t>
  </si>
  <si>
    <t>Container transport</t>
  </si>
  <si>
    <t>Overrule Description</t>
  </si>
  <si>
    <t>Real Estate Type</t>
  </si>
  <si>
    <t>Activity Type Code</t>
  </si>
  <si>
    <t>Plato Name</t>
  </si>
  <si>
    <t>Full Name</t>
  </si>
  <si>
    <t>FELIX</t>
  </si>
  <si>
    <t>Steve Felix</t>
  </si>
  <si>
    <t>Luis Saenz</t>
  </si>
  <si>
    <t>TOORCANA</t>
  </si>
  <si>
    <t>Kevin Toorcana</t>
  </si>
  <si>
    <t>HUYNH</t>
  </si>
  <si>
    <t>Brandon Huynh</t>
  </si>
  <si>
    <t>MALANIS</t>
  </si>
  <si>
    <t>Mariel Alanis</t>
  </si>
  <si>
    <t>Activitycode</t>
  </si>
  <si>
    <t>Range To</t>
  </si>
  <si>
    <t xml:space="preserve">Rate </t>
  </si>
  <si>
    <t>Minimum Charge</t>
  </si>
  <si>
    <t>Maximum Charge</t>
  </si>
  <si>
    <t>Zero Charge</t>
  </si>
  <si>
    <t>Comments</t>
  </si>
  <si>
    <t>Handling</t>
  </si>
  <si>
    <t>USD</t>
  </si>
  <si>
    <t>No</t>
  </si>
  <si>
    <t>Railcar</t>
  </si>
  <si>
    <t>Combined</t>
  </si>
  <si>
    <t>Month</t>
  </si>
  <si>
    <t>Day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</si>
  <si>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</si>
  <si>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</si>
  <si>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</si>
  <si>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</si>
  <si>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</si>
  <si>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</si>
  <si>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</si>
  <si>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</si>
  <si>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</si>
  <si>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</si>
  <si>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</si>
  <si>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</si>
  <si>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</si>
  <si>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Timestamp</t>
  </si>
  <si>
    <t>KNE (NOE) Plato Names</t>
  </si>
  <si>
    <t>KNE (NOR) Plato Names</t>
  </si>
  <si>
    <t>BASSTECHFD</t>
  </si>
  <si>
    <t>CENTURYFD</t>
  </si>
  <si>
    <t>EVONIKFD</t>
  </si>
  <si>
    <t>Spec Chem KNE (NOR)</t>
  </si>
  <si>
    <t>Spec Chem KNE (NOE)</t>
  </si>
  <si>
    <t>SABICINNOVFD</t>
  </si>
  <si>
    <t>SOUTHERNCHEMNJ</t>
  </si>
  <si>
    <t>SOLVAYSOLEXISNJ</t>
  </si>
  <si>
    <t>ORFITNJ</t>
  </si>
  <si>
    <t>OLDWORLDNJ</t>
  </si>
  <si>
    <t>KUWAITNJ</t>
  </si>
  <si>
    <t>JENUSGL</t>
  </si>
  <si>
    <t>DYNASOLNJ</t>
  </si>
  <si>
    <t>DUPONTNJ</t>
  </si>
  <si>
    <t>DSMMELAMINENJ</t>
  </si>
  <si>
    <t>ARLANXEO</t>
  </si>
  <si>
    <t>ARKEMANJ</t>
  </si>
  <si>
    <t>ARCELORMNJ</t>
  </si>
  <si>
    <t>LSANEZ</t>
  </si>
  <si>
    <t>range from2</t>
  </si>
  <si>
    <t>range to2</t>
  </si>
  <si>
    <t>rate2</t>
  </si>
  <si>
    <t>min2</t>
  </si>
  <si>
    <t>max2</t>
  </si>
  <si>
    <t>variable2</t>
  </si>
  <si>
    <t>zero2</t>
  </si>
  <si>
    <t>range from3</t>
  </si>
  <si>
    <t>range to3</t>
  </si>
  <si>
    <t>rate3</t>
  </si>
  <si>
    <t>min3</t>
  </si>
  <si>
    <t>max3</t>
  </si>
  <si>
    <t>variable3</t>
  </si>
  <si>
    <t>zero3</t>
  </si>
  <si>
    <t>graduated yes/no</t>
  </si>
  <si>
    <t>adfhg</t>
  </si>
  <si>
    <t>afg</t>
  </si>
  <si>
    <t>Yes</t>
  </si>
  <si>
    <t>sfgh</t>
  </si>
  <si>
    <t>sfh</t>
  </si>
  <si>
    <t>sh</t>
  </si>
  <si>
    <t>shg</t>
  </si>
  <si>
    <t>sgh</t>
  </si>
  <si>
    <t>WREH</t>
  </si>
  <si>
    <t>Standard Rate Codes</t>
  </si>
  <si>
    <t>RC/PD/RPTDS</t>
  </si>
  <si>
    <t>CT/PD/RPD</t>
  </si>
  <si>
    <t>WH/PP/PTD/RPP</t>
  </si>
  <si>
    <t>Range Per Pallet</t>
  </si>
  <si>
    <t>Ranger Per 100 lbs</t>
  </si>
  <si>
    <t>Range Per Ton</t>
  </si>
  <si>
    <t>WH/PP/WTD/RPW/100PDS</t>
  </si>
  <si>
    <t>WH/PP/WTD/RPW/TON</t>
  </si>
  <si>
    <t>HOUR</t>
  </si>
  <si>
    <t>KG</t>
  </si>
  <si>
    <t>NET/TON</t>
  </si>
  <si>
    <t>MONTH</t>
  </si>
  <si>
    <t>RAILCAR</t>
  </si>
  <si>
    <t>POUND</t>
  </si>
  <si>
    <t>POUNDS/100</t>
  </si>
  <si>
    <t>PALLET</t>
  </si>
  <si>
    <t>FILE</t>
  </si>
  <si>
    <t>TRANSPORT</t>
  </si>
  <si>
    <t>DAY</t>
  </si>
  <si>
    <t>CONTAINER</t>
  </si>
  <si>
    <t>edit?</t>
  </si>
  <si>
    <t>Handling Charges</t>
  </si>
  <si>
    <t>Labor Included</t>
  </si>
  <si>
    <t>Another Test</t>
  </si>
  <si>
    <t>Testing form refresh</t>
  </si>
  <si>
    <t>Railcar Switch Fee</t>
  </si>
  <si>
    <t>Switches Witches</t>
  </si>
  <si>
    <t>packaging FFS</t>
  </si>
  <si>
    <t>artj</t>
  </si>
  <si>
    <t>rh</t>
  </si>
  <si>
    <t>Advanced Storage</t>
  </si>
  <si>
    <t>Please work!</t>
  </si>
  <si>
    <t>Testing again</t>
  </si>
  <si>
    <t>RangeUnitCode</t>
  </si>
  <si>
    <t>Did I get it to work?</t>
  </si>
  <si>
    <t>Real Estate Check</t>
  </si>
  <si>
    <t>Valid Until Date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</si>
  <si>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</si>
  <si>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</si>
  <si>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</si>
  <si>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</si>
  <si>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</si>
  <si>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</si>
  <si>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</si>
  <si>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</si>
  <si>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</si>
  <si>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01/01/2018</t>
  </si>
  <si>
    <t>KGC</t>
  </si>
  <si>
    <t>Commercial Manager</t>
  </si>
  <si>
    <t>Invoice Company</t>
  </si>
  <si>
    <t>Valid From</t>
  </si>
  <si>
    <t>Handling Out Prepackaged Material</t>
  </si>
  <si>
    <t>Handling in Prepackaged Material</t>
  </si>
  <si>
    <t>Title Transfer</t>
  </si>
  <si>
    <t xml:space="preserve">Handling Inbound Packing Materials </t>
  </si>
  <si>
    <t>Repackaging Boxes to 25kg Bags</t>
  </si>
  <si>
    <t>Repackaging Big Bags to 25kg Bags</t>
  </si>
  <si>
    <t>Repackaging 25kg FFS Bags to Bulk Truk</t>
  </si>
  <si>
    <t>Repackaging 25kg FFS Bags to Big Bags</t>
  </si>
  <si>
    <t>Repackaging 25kg Bags to Boxes</t>
  </si>
  <si>
    <t>Repackaging 25kg FFS Bags to 25kg FFS Bags</t>
  </si>
  <si>
    <t>Repackaging Start Up- FFS Bags</t>
  </si>
  <si>
    <t>Packaging Bulk Truck to 25kg FFS Bags</t>
  </si>
  <si>
    <t>Repackaing Bulk Truck to Big Bags</t>
  </si>
  <si>
    <t>Product Drying</t>
  </si>
  <si>
    <t>Dryage to Port of Houston</t>
  </si>
  <si>
    <t>Fuel Surcharge</t>
  </si>
  <si>
    <t>Chassis Rental</t>
  </si>
  <si>
    <t>Chassis Split Fee</t>
  </si>
  <si>
    <t>Advanced Storage Packaging Materials</t>
  </si>
  <si>
    <t>Inbound Storage Full</t>
  </si>
  <si>
    <t>Inbound Storage Half</t>
  </si>
  <si>
    <t>Forklift Driver Straight Time</t>
  </si>
  <si>
    <t>Forklift Driver Overtime</t>
  </si>
  <si>
    <t xml:space="preserve">Forklift Driver Weekend </t>
  </si>
  <si>
    <t>Supervisor  Straight Time</t>
  </si>
  <si>
    <t>Supervisor Driver Overtime</t>
  </si>
  <si>
    <t xml:space="preserve">Supervisor Driver Weekend </t>
  </si>
  <si>
    <t>Warehouseman Straight Time</t>
  </si>
  <si>
    <t>Warehouseman Overtime</t>
  </si>
  <si>
    <t xml:space="preserve">Warehouseman Weekend </t>
  </si>
  <si>
    <t>Clerical Straight Time</t>
  </si>
  <si>
    <t>Clerical Overtime</t>
  </si>
  <si>
    <t xml:space="preserve">Clerical Weekend </t>
  </si>
  <si>
    <t>Truck Scale Ticket</t>
  </si>
  <si>
    <t>Rush Packaging 25kg FFS Bags</t>
  </si>
  <si>
    <t>Revision/Cancellation of Orders</t>
  </si>
  <si>
    <t>Partial Packaging</t>
  </si>
  <si>
    <t>Bulk Truck Packaging Minimum Charge</t>
  </si>
  <si>
    <t>Cleaning Fee- Ice Wash</t>
  </si>
  <si>
    <t>Cleaning Fee- Pressure Wash</t>
  </si>
  <si>
    <t>Cleaning Fee- Wash Down</t>
  </si>
  <si>
    <t>Special Bracing for Big Bags</t>
  </si>
  <si>
    <t>Ty-Guard</t>
  </si>
  <si>
    <t>Loose Loading Bags</t>
  </si>
  <si>
    <t>Photograph</t>
  </si>
  <si>
    <t>Packaging Upcharge- Granular</t>
  </si>
  <si>
    <t>Packaging Upcharge- Granular Powder</t>
  </si>
  <si>
    <t>Packaging Upcharge- EVA</t>
  </si>
  <si>
    <t>Packaging Upcharge- PS</t>
  </si>
  <si>
    <t>Upstacking/Downstacking</t>
  </si>
  <si>
    <t>KTN Furnished Packaging Supplies</t>
  </si>
  <si>
    <t>KTN Big Bags</t>
  </si>
  <si>
    <t>KTN FFS Bags</t>
  </si>
  <si>
    <t>KTN Valve Bags- Resin</t>
  </si>
  <si>
    <t>KTN Valve Bags- PVC</t>
  </si>
  <si>
    <t>KTN Box Set</t>
  </si>
  <si>
    <t>KTN Stretchwrap</t>
  </si>
  <si>
    <t>KTN Stretchhood</t>
  </si>
  <si>
    <t>KTN Slipsheets</t>
  </si>
  <si>
    <t>KTN Top Sheets</t>
  </si>
  <si>
    <t>KTN Seabulk liner- 20'</t>
  </si>
  <si>
    <t>KTN Seabulk Liner- 40'</t>
  </si>
  <si>
    <t>KTN Steel Bars</t>
  </si>
  <si>
    <t>KTN Truck Seal</t>
  </si>
  <si>
    <t>9/30/2019</t>
  </si>
  <si>
    <t>no</t>
  </si>
  <si>
    <t>yes</t>
  </si>
  <si>
    <t xml:space="preserve">no </t>
  </si>
  <si>
    <t>Stretchwrap</t>
  </si>
  <si>
    <t>Stretchhood</t>
  </si>
  <si>
    <t>Polystyrene Upcharge</t>
  </si>
  <si>
    <t>1st-15th of the month</t>
  </si>
  <si>
    <t>After the 15th of the month</t>
  </si>
  <si>
    <t>Old Supplies from Turning Basin</t>
  </si>
  <si>
    <t>&lt;45,000 lbs per request</t>
  </si>
  <si>
    <t>&lt;30,000 lbs per bulk truck</t>
  </si>
  <si>
    <t>Per customer request</t>
  </si>
  <si>
    <t>Cost + 15%</t>
  </si>
  <si>
    <t>FX/PP/CTR/RPC</t>
  </si>
  <si>
    <t>ITEM</t>
  </si>
  <si>
    <t>Stretchwrapping Offline per PALLET</t>
  </si>
  <si>
    <t>KTN Heat Treated Bag PALLET</t>
  </si>
  <si>
    <t>KTN Heat Treated Box PALLET</t>
  </si>
  <si>
    <t>KTN Heat Treated Supersack PALLET</t>
  </si>
  <si>
    <t>RAILCAR Title Transfer</t>
  </si>
  <si>
    <t>Packaging RAILCAR to 25kg FFS Bags- Stretchwrap</t>
  </si>
  <si>
    <t>Packaging RAILCAR to 25kg FFS Bags-Stretchhood</t>
  </si>
  <si>
    <t>Packaging RAILCAR to 25kg FFS Bags- Polystyrene</t>
  </si>
  <si>
    <t>Packaging RAILCAR to Boxes</t>
  </si>
  <si>
    <t>Packaging RAILCAR to OMS Bags</t>
  </si>
  <si>
    <t>Packaging RAILCAR to 25kg Valve Bags</t>
  </si>
  <si>
    <t xml:space="preserve">Packaging RAILCAR to Big Bags </t>
  </si>
  <si>
    <t>Pulling Sample from RAILCAR</t>
  </si>
  <si>
    <t>RAILCAR Storage</t>
  </si>
  <si>
    <t>RAILCAR Switch Fee</t>
  </si>
  <si>
    <t>Outbound RAILCAR without Packaging or Transloading</t>
  </si>
  <si>
    <t>KTN RAILCAR Seals</t>
  </si>
  <si>
    <t xml:space="preserve">Forklift Driver HoliDAY </t>
  </si>
  <si>
    <t xml:space="preserve">Supervisor Driver HoliDAY </t>
  </si>
  <si>
    <t xml:space="preserve">Warehouseman HoliDAY </t>
  </si>
  <si>
    <t xml:space="preserve">Clerical HoliDAY </t>
  </si>
  <si>
    <t>Same DAY Shipment</t>
  </si>
  <si>
    <t>CONTAINER Storage</t>
  </si>
  <si>
    <t>Import CONTAINER Storage</t>
  </si>
  <si>
    <t>KTN CONTAINER Bolt Seal</t>
  </si>
  <si>
    <t>Pulling FILE from RAILCAR</t>
  </si>
  <si>
    <t>Minimum 4 HOURs</t>
  </si>
  <si>
    <t>Minimum 8 HOURs</t>
  </si>
  <si>
    <t>Additonal LABELs</t>
  </si>
  <si>
    <t>LABEL</t>
  </si>
  <si>
    <t>KTN Packaging LABELs</t>
  </si>
  <si>
    <t>Multiple rate trigger</t>
  </si>
  <si>
    <t>Combined RE Range Unit Codes</t>
  </si>
  <si>
    <t>09/30/2019</t>
  </si>
  <si>
    <t>Testing delete</t>
  </si>
  <si>
    <t>Additional LABELs</t>
  </si>
  <si>
    <t>Import Container Storage</t>
  </si>
  <si>
    <t>Repackaging 25kg FFS Bags to Bigbags</t>
  </si>
  <si>
    <t>Advanced Storage - 1 High</t>
  </si>
  <si>
    <t>Advanced Storage - 2 High</t>
  </si>
  <si>
    <t>Advanced Storage - 3 High</t>
  </si>
  <si>
    <t>Inbound Storage Full - 1 High</t>
  </si>
  <si>
    <t>Inbound Storage Full - 2 High</t>
  </si>
  <si>
    <t>Inbound Storage Full - 3 High</t>
  </si>
  <si>
    <t>Inbound Storage Half - 1 High</t>
  </si>
  <si>
    <t>Inbound Storage Half - 3 High</t>
  </si>
  <si>
    <t>Inbound Storage Half - 2 High</t>
  </si>
  <si>
    <t>Minimum Storage Fee</t>
  </si>
  <si>
    <t>Railcar Storage - Sit Yard</t>
  </si>
  <si>
    <t>Outbound Railcar without Packaging or Transloading</t>
  </si>
  <si>
    <t>Railcar Switch Fee - Sit Yard</t>
  </si>
  <si>
    <t>Cleaning Fee - Blow Down</t>
  </si>
  <si>
    <t>Cleaning Fee - Wash Down</t>
  </si>
  <si>
    <t>Railcar no Instructions Fee</t>
  </si>
  <si>
    <t>Cleaning Fee - Pressure Wash</t>
  </si>
  <si>
    <t>Cleaning Fee - Ice Wash</t>
  </si>
  <si>
    <t>Transload Railcar to Railcar</t>
  </si>
  <si>
    <t>Repack Seabulk to Railcar</t>
  </si>
  <si>
    <t>Transload Railcar to Seabulk</t>
  </si>
  <si>
    <t>Ice Wash Bill Back</t>
  </si>
  <si>
    <t>Packaging Railcar to 25kg FFS Bags</t>
  </si>
  <si>
    <t>Packaging Railcar to 25kg FFS Bags (wrap)</t>
  </si>
  <si>
    <t>Packaging Railcar to 25kg FFS Bags (hood)</t>
  </si>
  <si>
    <t>Packaging Bulk Truck to 25kg FFS Bags (wrap)</t>
  </si>
  <si>
    <t>Packaging Bulk Truck to 25kg FFS Bags (hood)</t>
  </si>
  <si>
    <t>In Line Stretch Hood</t>
  </si>
  <si>
    <t>Re-Stenciling</t>
  </si>
  <si>
    <t>Split Packaging</t>
  </si>
  <si>
    <t>Loose Loading 20ft Container (NAG)</t>
  </si>
  <si>
    <t>Loose Loading 40ft Container (NAG)</t>
  </si>
  <si>
    <t>Loose Loading 20ft Container</t>
  </si>
  <si>
    <t>Loose Loading 40ft Container</t>
  </si>
  <si>
    <t>Handling In Packaging Material</t>
  </si>
  <si>
    <t>Handling In Prepackaged Material</t>
  </si>
  <si>
    <t>Handling Out Packaging Material</t>
  </si>
  <si>
    <t>Handling In Prepackaged Material (NAG)</t>
  </si>
  <si>
    <t>Handling Out Prepackaged Material (NAG)</t>
  </si>
  <si>
    <t>Preparing Sample for Shipment</t>
  </si>
  <si>
    <t>Supervisor Straight Time</t>
  </si>
  <si>
    <t>Supervisor Overtime</t>
  </si>
  <si>
    <t>Holiday Rate</t>
  </si>
  <si>
    <t>Handling Out Packed Product</t>
  </si>
  <si>
    <t>Repalletizing (NAG)</t>
  </si>
  <si>
    <t>Repalletizing</t>
  </si>
  <si>
    <t>Handling Out - Loose Loading</t>
  </si>
  <si>
    <t>Handling Out - Loose Loading (PVC)</t>
  </si>
  <si>
    <t>Installation of Cardboard Liner in Container</t>
  </si>
  <si>
    <t>Pulling Samples from Railcar</t>
  </si>
  <si>
    <t>Pulling Samples from Bulk Truck</t>
  </si>
  <si>
    <t>Stretchhood Offline Per Pallet</t>
  </si>
  <si>
    <t>Installation of Airbags</t>
  </si>
  <si>
    <t>Same Day Shipment</t>
  </si>
  <si>
    <t>Additional Labels</t>
  </si>
  <si>
    <t>Stretchwrapping Offline Per Pallet</t>
  </si>
  <si>
    <t>Straight Time</t>
  </si>
  <si>
    <t>Overtime</t>
  </si>
  <si>
    <t>Weekend Hours</t>
  </si>
  <si>
    <t>Inventory Reclassification</t>
  </si>
  <si>
    <t>Repackaging Start Up</t>
  </si>
  <si>
    <t>Standard Blocking and Bracing (T-Brace)</t>
  </si>
  <si>
    <t>Ty Guard</t>
  </si>
  <si>
    <t>KTN Railcar Seals</t>
  </si>
  <si>
    <t>KTN Packaging Labels</t>
  </si>
  <si>
    <t>KTN Valve Bags - Resin</t>
  </si>
  <si>
    <t>KTN Valve Bags - PVC</t>
  </si>
  <si>
    <t>KTN Heat Treated Box Pallet</t>
  </si>
  <si>
    <t>KTN Heat Treated Big Bag Pallet</t>
  </si>
  <si>
    <t>KTN Heat Treated Bag Pallet</t>
  </si>
  <si>
    <t>KTN Container Bolt Seal</t>
  </si>
  <si>
    <t>KTN Box</t>
  </si>
  <si>
    <t>KTN Seabulk Liner 20'</t>
  </si>
  <si>
    <t>KTN Seabulk Liner 40'</t>
  </si>
  <si>
    <t>KTN T-Brace</t>
  </si>
  <si>
    <t>KTN OMS Bags</t>
  </si>
  <si>
    <t>KTN Overbox Fee</t>
  </si>
  <si>
    <t>Supplies Cost +</t>
  </si>
  <si>
    <t>Disposal of Seabulk Liner &amp; Steel Bars</t>
  </si>
  <si>
    <t>Seabulk Upcharge - Flake</t>
  </si>
  <si>
    <t>Packaging Railcar to OMS Bags</t>
  </si>
  <si>
    <t>Packaging Railcar to OMS Bags (wrap)</t>
  </si>
  <si>
    <t>Packaging Railcar to Valve Bags</t>
  </si>
  <si>
    <t>Valve Packaging Upcharge - Colored Product</t>
  </si>
  <si>
    <t>Box Packaging Upcharge - Colored Product</t>
  </si>
  <si>
    <t>Packaging Railcar to Big Bag</t>
  </si>
  <si>
    <t>Big Bag Packaging Upcharge - Colored Product</t>
  </si>
  <si>
    <t>Transaload Railcar to Self Loading Bulk Truck</t>
  </si>
  <si>
    <t>Repack Big Bags into Railcar</t>
  </si>
  <si>
    <t>Repack Big Bags into Bulk Truck</t>
  </si>
  <si>
    <t>Repack Boxes to Railcar</t>
  </si>
  <si>
    <t>Repack Boxes to Bulk Truck</t>
  </si>
  <si>
    <t>Repack 25kg FFS Bags into Railcar</t>
  </si>
  <si>
    <t>Repack 25kg FFS Bags into Bulk Truck</t>
  </si>
  <si>
    <t>Repack Boxes to 25kg FFS Bags</t>
  </si>
  <si>
    <t>Repack 25kg FFS Bags to Boxes</t>
  </si>
  <si>
    <t>Repack Boxes to Boxes</t>
  </si>
  <si>
    <t>Repack 25kg FFS Bags to 25kg FFS Bags (NAG)</t>
  </si>
  <si>
    <t>Repack Big Bags to Boxes</t>
  </si>
  <si>
    <t>Repack Big Bags to 25kg FFS Bags</t>
  </si>
  <si>
    <t>Packaging Railcar to Boxes</t>
  </si>
  <si>
    <t>Repack 25kg FFS Bags to Big Bags</t>
  </si>
  <si>
    <t>Packaging Bulk Truck to Big Bags</t>
  </si>
  <si>
    <t>Packaging Bulk Truck to Boxes</t>
  </si>
  <si>
    <t>Repack Boxes to Big Bags</t>
  </si>
  <si>
    <t>Cancellation of Bulk Truck Packaging Orders</t>
  </si>
  <si>
    <t>Development Fee for Customized Labels</t>
  </si>
  <si>
    <t>Development Fee for Customized Reports</t>
  </si>
  <si>
    <t>Administrative Fee</t>
  </si>
  <si>
    <t>Clerical Holiday</t>
  </si>
  <si>
    <t>Railcar Title Transfer</t>
  </si>
  <si>
    <t>Dry Run Fee</t>
  </si>
  <si>
    <t>Detention Fee</t>
  </si>
  <si>
    <t>Freight Bill Back</t>
  </si>
  <si>
    <t>Transport Kay Trucking</t>
  </si>
  <si>
    <t>Flat Chassis Rate</t>
  </si>
  <si>
    <t>Drayage from CLT</t>
  </si>
  <si>
    <t>Heavy Haul</t>
  </si>
  <si>
    <t>Chassis Split</t>
  </si>
  <si>
    <t xml:space="preserve">Drayage for Prepacked Goods </t>
  </si>
  <si>
    <t>Container Transport</t>
  </si>
  <si>
    <t>Import Container Transport</t>
  </si>
  <si>
    <t>Drayage CLT to POH</t>
  </si>
  <si>
    <t>Drayage HPT to POH</t>
  </si>
  <si>
    <t>Cleaning Fees</t>
  </si>
  <si>
    <t>Misc Semibulk</t>
  </si>
  <si>
    <t>Misc Transfer Crew</t>
  </si>
  <si>
    <t>Big Bag Packaging</t>
  </si>
  <si>
    <t>OMS Packaging</t>
  </si>
  <si>
    <t>OMS Packaging Upcharge - Granular</t>
  </si>
  <si>
    <t>Repack into Valve Bags</t>
  </si>
  <si>
    <t>Sales Emails</t>
  </si>
  <si>
    <t>Real Estate</t>
  </si>
  <si>
    <t>Min</t>
  </si>
  <si>
    <t>Max</t>
  </si>
  <si>
    <t>Valid Until</t>
  </si>
  <si>
    <t>Range From 2</t>
  </si>
  <si>
    <t>Range To 2</t>
  </si>
  <si>
    <t>Min 2</t>
  </si>
  <si>
    <t>Max 2</t>
  </si>
  <si>
    <t>Variable Rate 2</t>
  </si>
  <si>
    <t>Zero Rate 2</t>
  </si>
  <si>
    <t>Rate 2</t>
  </si>
  <si>
    <t>Range From 3</t>
  </si>
  <si>
    <t>Range To 3</t>
  </si>
  <si>
    <t>Min 3</t>
  </si>
  <si>
    <t>Max 3</t>
  </si>
  <si>
    <t>Variable Rate 3</t>
  </si>
  <si>
    <t>Zero Rate 3</t>
  </si>
  <si>
    <t>Rate 3</t>
  </si>
  <si>
    <t>Currency</t>
  </si>
  <si>
    <t>Valve Packaging - Rush</t>
  </si>
  <si>
    <t>Box Packaging - Rush</t>
  </si>
  <si>
    <t>Big Bag Packaging - Rush</t>
  </si>
  <si>
    <t>Repack FFS Bags to Big Bags</t>
  </si>
  <si>
    <t>FFS Packaging - Rush</t>
  </si>
  <si>
    <t>FFS Packaging - Partial</t>
  </si>
  <si>
    <t>OMS Packaging Upcharge - Colored Product</t>
  </si>
  <si>
    <t>OMS Packaging - Rush</t>
  </si>
  <si>
    <t>OMS Packaging - Partial</t>
  </si>
  <si>
    <t>Valve Packaging - Partial</t>
  </si>
  <si>
    <t>OMS Packaging Upcharge - Plexar</t>
  </si>
  <si>
    <t>OMS Packaging Upcharge - Powder</t>
  </si>
  <si>
    <t>OMS Packaging Upcharge - Flake</t>
  </si>
  <si>
    <t>Valve Packaging Upcharge - Plexar</t>
  </si>
  <si>
    <t>Valve Packaging Upcharge - Granular</t>
  </si>
  <si>
    <t>Valve Packaging Upcharge - Powder</t>
  </si>
  <si>
    <t>Valve Packaging Upcharge - Flake</t>
  </si>
  <si>
    <t>FFS Packaging Upcharge - Colored Product</t>
  </si>
  <si>
    <t>FFS Packaging Upcharge - Plexar</t>
  </si>
  <si>
    <t>FFS Packaging Upcharge - Granular</t>
  </si>
  <si>
    <t>FFS Packaging Upcharge - Powder</t>
  </si>
  <si>
    <t>FFS Packaging Upcharge - Flake</t>
  </si>
  <si>
    <t>Box Packaging Upcharge - Plexar</t>
  </si>
  <si>
    <t>Box Packaging Upcharge - Granular</t>
  </si>
  <si>
    <t>Box Packaging Upcharge - Powder</t>
  </si>
  <si>
    <t>Box Packaging Upcharge - Flake</t>
  </si>
  <si>
    <t>Box Packaging - Partial</t>
  </si>
  <si>
    <t>Big Bag Packaging Upcharge - Plexar</t>
  </si>
  <si>
    <t>Big Bag Packaging Upcharge - Granular</t>
  </si>
  <si>
    <t>Big Bag Packaging Upcharge - Powder</t>
  </si>
  <si>
    <t>Big Bag Packaging Upcharge - Flake</t>
  </si>
  <si>
    <t>Big Bag Packaging - Partial</t>
  </si>
  <si>
    <t>Nothing for Now</t>
  </si>
  <si>
    <t>Repack Bags to Boxes</t>
  </si>
  <si>
    <t>Repack Bags to FFS Bags</t>
  </si>
  <si>
    <t>Revision/Cancellation of Packaging Orders</t>
  </si>
  <si>
    <t>Revision/Cancellation of Outbound Orders</t>
  </si>
  <si>
    <t>Vinmarint</t>
  </si>
  <si>
    <t>Click Add Rate to get started!</t>
  </si>
  <si>
    <t>11/05/2018 - 10:44:35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</si>
</sst>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8"/>
      <color theme="1" tint="0.249977111117893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49" fontId="0" fillId="0" borderId="0" xfId="0" applyNumberFormat="1"/>
    <xf numFmtId="49" fontId="0" fillId="0" borderId="1" xfId="0" applyNumberFormat="1" applyFill="1" applyBorder="1"/>
    <xf numFmtId="0" fontId="0" fillId="7" borderId="0" xfId="0" applyFill="1"/>
    <xf numFmtId="0" fontId="0" fillId="0" borderId="0" xfId="0" applyAlignment="1"/>
    <xf numFmtId="2" fontId="0" fillId="0" borderId="0" xfId="0" applyNumberFormat="1"/>
    <xf numFmtId="0" fontId="3" fillId="0" borderId="0" xfId="0" applyFont="1"/>
    <xf numFmtId="0" fontId="0" fillId="0" borderId="0" xfId="0" applyFill="1" applyBorder="1"/>
    <xf numFmtId="0" fontId="0" fillId="0" borderId="0" xfId="0" applyBorder="1"/>
    <xf numFmtId="0" fontId="0" fillId="0" borderId="2" xfId="0" applyFill="1" applyBorder="1"/>
    <xf numFmtId="0" fontId="0" fillId="0" borderId="0" xfId="0" applyFill="1"/>
    <xf numFmtId="0" fontId="0" fillId="8" borderId="0" xfId="0" applyFill="1" applyBorder="1"/>
    <xf numFmtId="0" fontId="0" fillId="9" borderId="0" xfId="0" applyFill="1" applyBorder="1"/>
    <xf numFmtId="0" fontId="0" fillId="10" borderId="0" xfId="0" applyFill="1" applyBorder="1"/>
    <xf numFmtId="0" fontId="0" fillId="11" borderId="0" xfId="0" applyFill="1" applyBorder="1"/>
    <xf numFmtId="0" fontId="0" fillId="12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142875</xdr:rowOff>
        </xdr:from>
        <xdr:to>
          <xdr:col>3</xdr:col>
          <xdr:colOff>266700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Rates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hare%20US%20SOF/New%20Worksheet%20Testing%20Folder/Invoicing%20Adjustements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dure"/>
      <sheetName val="RequestWS"/>
      <sheetName val="SetupCustomer"/>
      <sheetName val="CustomerNames"/>
      <sheetName val="SetupList"/>
    </sheetNames>
    <sheetDataSet>
      <sheetData sheetId="0"/>
      <sheetData sheetId="1"/>
      <sheetData sheetId="2">
        <row r="1">
          <cell r="A1" t="str">
            <v>Customer Name</v>
          </cell>
        </row>
        <row r="2">
          <cell r="A2" t="str">
            <v>VINMARINT</v>
          </cell>
        </row>
        <row r="3">
          <cell r="A3" t="str">
            <v>VINMAREXPORTS</v>
          </cell>
        </row>
        <row r="4">
          <cell r="A4" t="str">
            <v>BRASKEM</v>
          </cell>
        </row>
        <row r="5">
          <cell r="A5" t="str">
            <v>MARUBENIAMER</v>
          </cell>
        </row>
        <row r="6">
          <cell r="A6" t="str">
            <v>MBBARTER</v>
          </cell>
        </row>
        <row r="7">
          <cell r="A7" t="str">
            <v>BOREALIS</v>
          </cell>
        </row>
        <row r="8">
          <cell r="A8" t="str">
            <v>EMERAUDEGC</v>
          </cell>
        </row>
        <row r="9">
          <cell r="A9" t="str">
            <v>LYBHDPE</v>
          </cell>
        </row>
        <row r="10">
          <cell r="A10" t="str">
            <v>LYBNONHDPE</v>
          </cell>
        </row>
        <row r="11">
          <cell r="A11" t="str">
            <v>EXXONMOBILSEB</v>
          </cell>
        </row>
        <row r="12">
          <cell r="A12" t="str">
            <v>EXXONMOBILBR</v>
          </cell>
        </row>
        <row r="13">
          <cell r="A13" t="str">
            <v>EXXONMOBILPOGC</v>
          </cell>
        </row>
      </sheetData>
      <sheetData sheetId="3"/>
      <sheetData sheetId="4">
        <row r="1">
          <cell r="A1" t="str">
            <v>Sales Rep List</v>
          </cell>
          <cell r="C1" t="str">
            <v>Plato Upload Users</v>
          </cell>
          <cell r="E1" t="str">
            <v>Sales Approvers</v>
          </cell>
        </row>
        <row r="2">
          <cell r="A2" t="str">
            <v>Luis Saenz</v>
          </cell>
          <cell r="C2" t="str">
            <v>Nele Rombaut</v>
          </cell>
          <cell r="E2" t="str">
            <v>Brandon Huynh</v>
          </cell>
        </row>
        <row r="3">
          <cell r="A3" t="str">
            <v>Kevin Toorcana</v>
          </cell>
          <cell r="C3" t="str">
            <v>Alexis Artiga</v>
          </cell>
        </row>
        <row r="4">
          <cell r="A4" t="str">
            <v>Steve Felix</v>
          </cell>
          <cell r="C4" t="str">
            <v>Diana Delafuente</v>
          </cell>
        </row>
        <row r="5">
          <cell r="A5" t="str">
            <v>Mariel Alanis</v>
          </cell>
          <cell r="C5" t="str">
            <v>Vanessa Trevino</v>
          </cell>
        </row>
        <row r="6">
          <cell r="A6" t="str">
            <v>Brandon Huynh</v>
          </cell>
          <cell r="C6" t="str">
            <v>Julia Moon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3:H4"/>
  <sheetViews>
    <sheetView workbookViewId="0">
      <selection activeCell="F8" sqref="F8"/>
    </sheetView>
  </sheetViews>
  <sheetFormatPr defaultRowHeight="15" x14ac:dyDescent="0.25"/>
  <cols>
    <col min="5" max="6" width="20" bestFit="1" customWidth="1"/>
    <col min="7" max="7" width="16.28515625" bestFit="1" customWidth="1"/>
    <col min="8" max="8" width="21" customWidth="1"/>
  </cols>
  <sheetData>
    <row r="3" spans="5:8" x14ac:dyDescent="0.25">
      <c r="E3" t="s">
        <v>357</v>
      </c>
      <c r="F3" t="s">
        <v>0</v>
      </c>
      <c r="G3" t="s">
        <v>358</v>
      </c>
      <c r="H3" t="s">
        <v>262</v>
      </c>
    </row>
    <row r="4" spans="5:8" x14ac:dyDescent="0.25">
      <c r="E4" t="s">
        <v>234</v>
      </c>
      <c r="G4" t="s">
        <v>356</v>
      </c>
      <c r="H4" t="s">
        <v>668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RatesForm">
                <anchor moveWithCells="1" sizeWithCells="1">
                  <from>
                    <xdr:col>0</xdr:col>
                    <xdr:colOff>161925</xdr:colOff>
                    <xdr:row>1</xdr:row>
                    <xdr:rowOff>142875</xdr:rowOff>
                  </from>
                  <to>
                    <xdr:col>3</xdr:col>
                    <xdr:colOff>266700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13"/>
  <sheetViews>
    <sheetView workbookViewId="0">
      <selection activeCell="D17" sqref="D17"/>
    </sheetView>
  </sheetViews>
  <sheetFormatPr defaultRowHeight="15" x14ac:dyDescent="0.25"/>
  <cols>
    <col min="1" max="1" width="12" bestFit="1" customWidth="1"/>
    <col min="2" max="2" width="17" bestFit="1" customWidth="1"/>
    <col min="3" max="3" width="14.28515625" bestFit="1" customWidth="1"/>
    <col min="4" max="4" width="14" bestFit="1" customWidth="1"/>
    <col min="5" max="5" width="11.42578125" bestFit="1" customWidth="1"/>
    <col min="6" max="6" width="10" bestFit="1" customWidth="1"/>
    <col min="7" max="7" width="5.42578125" bestFit="1" customWidth="1"/>
    <col min="8" max="8" width="16.28515625" bestFit="1" customWidth="1"/>
    <col min="9" max="9" width="16.5703125" bestFit="1" customWidth="1"/>
    <col min="10" max="10" width="12.85546875" bestFit="1" customWidth="1"/>
    <col min="11" max="11" width="11.5703125" bestFit="1" customWidth="1"/>
    <col min="12" max="12" width="16.7109375" bestFit="1" customWidth="1"/>
    <col min="13" max="13" width="19.28515625" bestFit="1" customWidth="1"/>
  </cols>
  <sheetData>
    <row r="1" spans="1:28" x14ac:dyDescent="0.25">
      <c r="A1" t="s">
        <v>235</v>
      </c>
      <c r="B1" t="s">
        <v>198</v>
      </c>
      <c r="C1" t="s">
        <v>342</v>
      </c>
      <c r="D1" t="s">
        <v>7</v>
      </c>
      <c r="E1" t="s">
        <v>9</v>
      </c>
      <c r="F1" t="s">
        <v>236</v>
      </c>
      <c r="G1" t="s">
        <v>237</v>
      </c>
      <c r="H1" t="s">
        <v>238</v>
      </c>
      <c r="I1" t="s">
        <v>239</v>
      </c>
      <c r="J1" t="s">
        <v>15</v>
      </c>
      <c r="K1" t="s">
        <v>240</v>
      </c>
      <c r="L1" t="s">
        <v>298</v>
      </c>
      <c r="M1" t="s">
        <v>241</v>
      </c>
      <c r="N1" s="6" t="s">
        <v>284</v>
      </c>
      <c r="O1" s="6" t="s">
        <v>285</v>
      </c>
      <c r="P1" s="6" t="s">
        <v>287</v>
      </c>
      <c r="Q1" s="6" t="s">
        <v>288</v>
      </c>
      <c r="R1" s="6" t="s">
        <v>289</v>
      </c>
      <c r="S1" s="6" t="s">
        <v>290</v>
      </c>
      <c r="T1" s="6" t="s">
        <v>286</v>
      </c>
      <c r="U1" s="7" t="s">
        <v>291</v>
      </c>
      <c r="V1" s="7" t="s">
        <v>292</v>
      </c>
      <c r="W1" s="7" t="s">
        <v>294</v>
      </c>
      <c r="X1" s="7" t="s">
        <v>295</v>
      </c>
      <c r="Y1" s="7" t="s">
        <v>296</v>
      </c>
      <c r="Z1" s="7" t="s">
        <v>297</v>
      </c>
      <c r="AA1" s="7" t="s">
        <v>293</v>
      </c>
      <c r="AB1" s="8" t="s">
        <v>329</v>
      </c>
    </row>
    <row r="2" spans="1:28" x14ac:dyDescent="0.25">
      <c r="A2">
        <v>3600</v>
      </c>
      <c r="B2" t="s">
        <v>242</v>
      </c>
      <c r="C2">
        <v>0</v>
      </c>
      <c r="D2">
        <v>999999999</v>
      </c>
      <c r="E2">
        <v>25.36</v>
      </c>
      <c r="F2" t="s">
        <v>326</v>
      </c>
      <c r="G2">
        <v>0</v>
      </c>
      <c r="H2">
        <v>0</v>
      </c>
      <c r="I2" t="s">
        <v>243</v>
      </c>
      <c r="J2" t="s">
        <v>301</v>
      </c>
      <c r="K2" t="s">
        <v>301</v>
      </c>
      <c r="L2" t="s">
        <v>343</v>
      </c>
      <c r="M2" t="s">
        <v>244</v>
      </c>
      <c r="AB2" t="s">
        <v>244</v>
      </c>
    </row>
    <row r="3" spans="1:28" x14ac:dyDescent="0.25">
      <c r="A3">
        <v>1400</v>
      </c>
      <c r="B3" t="s">
        <v>340</v>
      </c>
      <c r="C3" t="s">
        <v>245</v>
      </c>
      <c r="D3" t="s">
        <v>243</v>
      </c>
      <c r="E3">
        <v>1</v>
      </c>
      <c r="F3">
        <v>13</v>
      </c>
      <c r="G3">
        <v>25</v>
      </c>
      <c r="H3">
        <v>0</v>
      </c>
      <c r="I3">
        <v>0</v>
      </c>
      <c r="J3" t="s">
        <v>244</v>
      </c>
      <c r="K3" t="s">
        <v>244</v>
      </c>
      <c r="L3" t="s">
        <v>244</v>
      </c>
      <c r="M3" t="s">
        <v>341</v>
      </c>
      <c r="AB3" t="s">
        <v>301</v>
      </c>
    </row>
    <row r="4" spans="1:28" x14ac:dyDescent="0.25">
      <c r="A4">
        <v>1401</v>
      </c>
      <c r="B4" t="s">
        <v>299</v>
      </c>
      <c r="C4" t="s">
        <v>245</v>
      </c>
      <c r="D4" t="s">
        <v>243</v>
      </c>
      <c r="E4">
        <v>1</v>
      </c>
      <c r="F4">
        <v>15</v>
      </c>
      <c r="G4">
        <v>1.1499999999999999</v>
      </c>
      <c r="H4">
        <v>0</v>
      </c>
      <c r="I4">
        <v>0</v>
      </c>
      <c r="J4" t="s">
        <v>244</v>
      </c>
      <c r="K4" t="s">
        <v>244</v>
      </c>
      <c r="L4" t="s">
        <v>301</v>
      </c>
      <c r="M4" t="s">
        <v>300</v>
      </c>
      <c r="N4">
        <v>16</v>
      </c>
      <c r="O4">
        <v>30</v>
      </c>
      <c r="P4">
        <v>0</v>
      </c>
      <c r="Q4">
        <v>0</v>
      </c>
      <c r="R4" t="s">
        <v>244</v>
      </c>
      <c r="S4" t="s">
        <v>244</v>
      </c>
      <c r="T4">
        <v>5</v>
      </c>
      <c r="U4">
        <v>31</v>
      </c>
      <c r="V4">
        <v>9999999</v>
      </c>
      <c r="W4">
        <v>0</v>
      </c>
      <c r="X4">
        <v>0</v>
      </c>
      <c r="Y4" t="s">
        <v>244</v>
      </c>
      <c r="Z4" t="s">
        <v>244</v>
      </c>
      <c r="AA4">
        <v>25.5</v>
      </c>
    </row>
    <row r="5" spans="1:28" x14ac:dyDescent="0.25">
      <c r="A5">
        <v>3030</v>
      </c>
      <c r="B5" t="s">
        <v>299</v>
      </c>
      <c r="C5" t="s">
        <v>245</v>
      </c>
      <c r="D5" t="s">
        <v>243</v>
      </c>
      <c r="E5">
        <v>1</v>
      </c>
      <c r="F5">
        <v>15</v>
      </c>
      <c r="G5">
        <v>1.1499999999999999</v>
      </c>
      <c r="H5">
        <v>0</v>
      </c>
      <c r="I5">
        <v>0</v>
      </c>
      <c r="J5" t="s">
        <v>244</v>
      </c>
      <c r="K5" t="s">
        <v>244</v>
      </c>
      <c r="L5" t="s">
        <v>301</v>
      </c>
      <c r="M5" t="s">
        <v>300</v>
      </c>
      <c r="N5">
        <v>16</v>
      </c>
      <c r="O5">
        <v>30</v>
      </c>
      <c r="P5">
        <v>0</v>
      </c>
      <c r="Q5">
        <v>0</v>
      </c>
      <c r="R5" t="s">
        <v>244</v>
      </c>
      <c r="S5" t="s">
        <v>244</v>
      </c>
      <c r="T5">
        <v>5</v>
      </c>
      <c r="U5">
        <v>31</v>
      </c>
      <c r="V5">
        <v>9999999</v>
      </c>
      <c r="W5">
        <v>0</v>
      </c>
      <c r="X5">
        <v>0</v>
      </c>
      <c r="Y5" t="s">
        <v>244</v>
      </c>
      <c r="Z5" t="s">
        <v>244</v>
      </c>
      <c r="AA5">
        <v>25.5</v>
      </c>
    </row>
    <row r="6" spans="1:28" x14ac:dyDescent="0.25">
      <c r="A6">
        <v>3030</v>
      </c>
      <c r="B6" t="s">
        <v>302</v>
      </c>
      <c r="C6" t="s">
        <v>245</v>
      </c>
      <c r="D6" t="s">
        <v>243</v>
      </c>
      <c r="E6" t="s">
        <v>303</v>
      </c>
      <c r="F6" t="s">
        <v>304</v>
      </c>
      <c r="G6" t="s">
        <v>303</v>
      </c>
      <c r="H6" t="s">
        <v>305</v>
      </c>
      <c r="I6" t="s">
        <v>306</v>
      </c>
      <c r="J6" t="s">
        <v>244</v>
      </c>
      <c r="K6" t="s">
        <v>244</v>
      </c>
      <c r="L6" t="s">
        <v>244</v>
      </c>
      <c r="M6" t="s">
        <v>304</v>
      </c>
    </row>
    <row r="7" spans="1:28" x14ac:dyDescent="0.25">
      <c r="A7">
        <v>3752</v>
      </c>
      <c r="B7" t="s">
        <v>307</v>
      </c>
      <c r="C7" t="s">
        <v>245</v>
      </c>
      <c r="D7" t="s">
        <v>243</v>
      </c>
      <c r="E7">
        <v>1</v>
      </c>
      <c r="F7">
        <v>15</v>
      </c>
      <c r="G7">
        <v>1.1499999999999999</v>
      </c>
      <c r="H7">
        <v>0</v>
      </c>
      <c r="I7">
        <v>0</v>
      </c>
      <c r="J7" t="s">
        <v>244</v>
      </c>
      <c r="K7" t="s">
        <v>244</v>
      </c>
      <c r="L7" t="s">
        <v>301</v>
      </c>
      <c r="M7" t="s">
        <v>300</v>
      </c>
      <c r="N7">
        <v>16</v>
      </c>
      <c r="O7">
        <v>30</v>
      </c>
      <c r="P7">
        <v>0</v>
      </c>
      <c r="Q7">
        <v>0</v>
      </c>
      <c r="R7" t="s">
        <v>244</v>
      </c>
      <c r="S7" t="s">
        <v>244</v>
      </c>
      <c r="T7">
        <v>5</v>
      </c>
      <c r="U7">
        <v>31</v>
      </c>
      <c r="V7">
        <v>9999999</v>
      </c>
      <c r="W7">
        <v>0</v>
      </c>
      <c r="X7">
        <v>0</v>
      </c>
      <c r="Y7" t="s">
        <v>244</v>
      </c>
      <c r="Z7" t="s">
        <v>244</v>
      </c>
      <c r="AA7">
        <v>25.5</v>
      </c>
    </row>
    <row r="8" spans="1:28" x14ac:dyDescent="0.25">
      <c r="A8">
        <v>1200</v>
      </c>
      <c r="B8" t="s">
        <v>330</v>
      </c>
      <c r="C8" t="s">
        <v>317</v>
      </c>
      <c r="D8" t="s">
        <v>243</v>
      </c>
      <c r="E8">
        <v>0</v>
      </c>
      <c r="F8">
        <v>999999999</v>
      </c>
      <c r="G8">
        <v>15</v>
      </c>
      <c r="H8">
        <v>0</v>
      </c>
      <c r="I8">
        <v>0</v>
      </c>
      <c r="J8" t="s">
        <v>301</v>
      </c>
      <c r="K8" t="s">
        <v>301</v>
      </c>
      <c r="L8" t="s">
        <v>244</v>
      </c>
      <c r="M8" t="s">
        <v>331</v>
      </c>
    </row>
    <row r="9" spans="1:28" x14ac:dyDescent="0.25">
      <c r="A9">
        <v>1200</v>
      </c>
      <c r="B9" t="s">
        <v>332</v>
      </c>
      <c r="C9" t="s">
        <v>317</v>
      </c>
      <c r="D9" t="s">
        <v>243</v>
      </c>
      <c r="E9">
        <v>0</v>
      </c>
      <c r="F9">
        <v>999999999</v>
      </c>
      <c r="G9">
        <v>15</v>
      </c>
      <c r="H9">
        <v>0</v>
      </c>
      <c r="I9">
        <v>0</v>
      </c>
      <c r="J9" t="s">
        <v>301</v>
      </c>
      <c r="K9" t="s">
        <v>301</v>
      </c>
      <c r="L9" t="s">
        <v>244</v>
      </c>
      <c r="M9" t="s">
        <v>333</v>
      </c>
    </row>
    <row r="10" spans="1:28" x14ac:dyDescent="0.25">
      <c r="A10">
        <v>1402</v>
      </c>
      <c r="B10" t="s">
        <v>334</v>
      </c>
      <c r="C10" t="s">
        <v>245</v>
      </c>
      <c r="D10" t="s">
        <v>243</v>
      </c>
      <c r="E10">
        <v>1</v>
      </c>
      <c r="F10">
        <v>13</v>
      </c>
      <c r="G10">
        <v>25</v>
      </c>
      <c r="H10">
        <v>0</v>
      </c>
      <c r="I10">
        <v>0</v>
      </c>
      <c r="J10" t="s">
        <v>244</v>
      </c>
      <c r="K10" t="s">
        <v>244</v>
      </c>
      <c r="L10" t="s">
        <v>244</v>
      </c>
      <c r="M10" t="s">
        <v>335</v>
      </c>
    </row>
    <row r="11" spans="1:28" x14ac:dyDescent="0.25">
      <c r="A11">
        <v>3310</v>
      </c>
      <c r="B11" t="s">
        <v>336</v>
      </c>
      <c r="C11" t="s">
        <v>322</v>
      </c>
      <c r="D11" t="s">
        <v>243</v>
      </c>
      <c r="E11">
        <v>0</v>
      </c>
      <c r="F11">
        <v>999999999</v>
      </c>
      <c r="G11">
        <v>2.8700000000000002E-3</v>
      </c>
      <c r="H11">
        <v>0</v>
      </c>
      <c r="I11">
        <v>0</v>
      </c>
      <c r="J11" t="s">
        <v>244</v>
      </c>
      <c r="K11" t="s">
        <v>244</v>
      </c>
      <c r="L11" t="s">
        <v>244</v>
      </c>
    </row>
    <row r="12" spans="1:28" x14ac:dyDescent="0.25">
      <c r="A12">
        <v>1200</v>
      </c>
      <c r="B12" t="s">
        <v>337</v>
      </c>
      <c r="C12" t="s">
        <v>317</v>
      </c>
      <c r="D12" t="s">
        <v>243</v>
      </c>
      <c r="E12">
        <v>0</v>
      </c>
      <c r="F12">
        <v>999999999</v>
      </c>
      <c r="H12">
        <v>0</v>
      </c>
      <c r="I12">
        <v>0</v>
      </c>
      <c r="J12" t="s">
        <v>244</v>
      </c>
      <c r="K12" t="s">
        <v>244</v>
      </c>
      <c r="L12" t="s">
        <v>244</v>
      </c>
      <c r="M12" t="s">
        <v>338</v>
      </c>
    </row>
    <row r="13" spans="1:28" x14ac:dyDescent="0.25">
      <c r="A13">
        <v>1200</v>
      </c>
      <c r="B13" t="s">
        <v>339</v>
      </c>
      <c r="C13" t="s">
        <v>317</v>
      </c>
      <c r="D13" t="s">
        <v>243</v>
      </c>
      <c r="E13">
        <v>1</v>
      </c>
      <c r="F13">
        <v>15</v>
      </c>
      <c r="G13">
        <v>10</v>
      </c>
      <c r="H13">
        <v>0</v>
      </c>
      <c r="I13">
        <v>0</v>
      </c>
      <c r="J13" t="s">
        <v>244</v>
      </c>
      <c r="K13" t="s">
        <v>244</v>
      </c>
      <c r="L13" t="s">
        <v>301</v>
      </c>
      <c r="N13">
        <v>16</v>
      </c>
      <c r="O13">
        <v>30</v>
      </c>
      <c r="P13">
        <v>0</v>
      </c>
      <c r="Q13">
        <v>0</v>
      </c>
      <c r="R13" t="s">
        <v>244</v>
      </c>
      <c r="S13" t="s">
        <v>244</v>
      </c>
      <c r="T13">
        <v>15</v>
      </c>
      <c r="U13">
        <v>31</v>
      </c>
      <c r="V13">
        <v>9999999</v>
      </c>
      <c r="W13">
        <v>0</v>
      </c>
      <c r="X13">
        <v>0</v>
      </c>
      <c r="Y13" t="s">
        <v>244</v>
      </c>
      <c r="Z13" t="s">
        <v>244</v>
      </c>
      <c r="AA13">
        <v>20</v>
      </c>
    </row>
  </sheetData>
  <pageMargins left="0.25" right="0.25" top="0.75" bottom="0.75" header="0.3" footer="0.3"/>
  <pageSetup scale="3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66"/>
  <sheetViews>
    <sheetView tabSelected="1" workbookViewId="0">
      <selection activeCell="B28" sqref="B28"/>
    </sheetView>
  </sheetViews>
  <sheetFormatPr defaultRowHeight="15" x14ac:dyDescent="0.25"/>
  <cols>
    <col min="1" max="1" width="12" bestFit="1" customWidth="1"/>
    <col min="2" max="2" width="49.7109375" bestFit="1" customWidth="1"/>
    <col min="3" max="3" width="10.7109375" style="9" bestFit="1" customWidth="1"/>
    <col min="4" max="4" width="22.42578125" bestFit="1" customWidth="1"/>
    <col min="5" max="5" width="8.85546875" bestFit="1" customWidth="1"/>
    <col min="6" max="6" width="11.42578125" bestFit="1" customWidth="1"/>
    <col min="7" max="8" width="10" bestFit="1" customWidth="1"/>
    <col min="9" max="9" width="6" bestFit="1" customWidth="1"/>
    <col min="10" max="10" width="4.7109375" bestFit="1" customWidth="1"/>
    <col min="11" max="11" width="12.85546875" bestFit="1" customWidth="1"/>
    <col min="12" max="12" width="9.42578125" bestFit="1" customWidth="1"/>
    <col min="13" max="13" width="14.85546875" bestFit="1" customWidth="1"/>
    <col min="14" max="14" width="29.85546875" bestFit="1" customWidth="1"/>
    <col min="15" max="15" width="10.7109375" bestFit="1" customWidth="1"/>
    <col min="16" max="16" width="12.85546875" bestFit="1" customWidth="1"/>
    <col min="17" max="17" width="10.42578125" bestFit="1" customWidth="1"/>
    <col min="18" max="18" width="5.85546875" bestFit="1" customWidth="1"/>
    <col min="19" max="19" width="6.140625" bestFit="1" customWidth="1"/>
    <col min="20" max="20" width="14.42578125" bestFit="1" customWidth="1"/>
    <col min="21" max="21" width="10.85546875" bestFit="1" customWidth="1"/>
    <col min="22" max="22" width="7" bestFit="1" customWidth="1"/>
    <col min="23" max="23" width="12.85546875" bestFit="1" customWidth="1"/>
    <col min="24" max="24" width="10.42578125" bestFit="1" customWidth="1"/>
    <col min="25" max="25" width="5.85546875" bestFit="1" customWidth="1"/>
    <col min="26" max="26" width="6.140625" bestFit="1" customWidth="1"/>
    <col min="27" max="27" width="14.42578125" bestFit="1" customWidth="1"/>
    <col min="28" max="28" width="10.85546875" bestFit="1" customWidth="1"/>
    <col min="29" max="29" width="7" bestFit="1" customWidth="1"/>
    <col min="30" max="30" width="5.5703125" bestFit="1" customWidth="1"/>
  </cols>
  <sheetData>
    <row r="1" spans="1:30" x14ac:dyDescent="0.25">
      <c r="A1" t="s">
        <v>235</v>
      </c>
      <c r="B1" t="s">
        <v>198</v>
      </c>
      <c r="C1" s="9" t="s">
        <v>613</v>
      </c>
      <c r="D1" t="s">
        <v>342</v>
      </c>
      <c r="E1" t="s">
        <v>628</v>
      </c>
      <c r="F1" t="s">
        <v>9</v>
      </c>
      <c r="G1" t="s">
        <v>236</v>
      </c>
      <c r="H1" t="s">
        <v>237</v>
      </c>
      <c r="I1" t="s">
        <v>611</v>
      </c>
      <c r="J1" t="s">
        <v>612</v>
      </c>
      <c r="K1" t="s">
        <v>15</v>
      </c>
      <c r="L1" t="s">
        <v>17</v>
      </c>
      <c r="M1" t="s">
        <v>19</v>
      </c>
      <c r="N1" t="s">
        <v>241</v>
      </c>
      <c r="O1" t="s">
        <v>610</v>
      </c>
      <c r="P1" s="6" t="s">
        <v>614</v>
      </c>
      <c r="Q1" s="6" t="s">
        <v>615</v>
      </c>
      <c r="R1" s="6" t="s">
        <v>616</v>
      </c>
      <c r="S1" s="6" t="s">
        <v>617</v>
      </c>
      <c r="T1" s="6" t="s">
        <v>618</v>
      </c>
      <c r="U1" s="6" t="s">
        <v>619</v>
      </c>
      <c r="V1" s="6" t="s">
        <v>620</v>
      </c>
      <c r="W1" s="7" t="s">
        <v>621</v>
      </c>
      <c r="X1" s="7" t="s">
        <v>622</v>
      </c>
      <c r="Y1" s="7" t="s">
        <v>623</v>
      </c>
      <c r="Z1" s="7" t="s">
        <v>624</v>
      </c>
      <c r="AA1" s="7" t="s">
        <v>625</v>
      </c>
      <c r="AB1" s="7" t="s">
        <v>626</v>
      </c>
      <c r="AC1" s="7" t="s">
        <v>627</v>
      </c>
      <c r="AD1" s="8" t="s">
        <v>329</v>
      </c>
    </row>
    <row r="2" spans="1:30" x14ac:dyDescent="0.25">
      <c r="A2" t="s">
        <v>667</v>
      </c>
    </row>
    <row r="4" spans="1:30" x14ac:dyDescent="0.25">
      <c r="H4" s="13"/>
    </row>
    <row r="65" spans="2:2" x14ac:dyDescent="0.25">
      <c r="B65" s="12"/>
    </row>
    <row r="66" spans="2:2" x14ac:dyDescent="0.25">
      <c r="B66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71"/>
  <sheetViews>
    <sheetView zoomScaleNormal="100" workbookViewId="0">
      <selection activeCell="AT2" sqref="AT2:AT3"/>
    </sheetView>
  </sheetViews>
  <sheetFormatPr defaultRowHeight="15" x14ac:dyDescent="0.25"/>
  <cols>
    <col min="1" max="1" width="19.85546875" customWidth="1"/>
    <col min="2" max="2" width="18.28515625" bestFit="1" customWidth="1"/>
    <col min="3" max="3" width="12.7109375" hidden="1" customWidth="1"/>
    <col min="4" max="4" width="21.140625" style="9" bestFit="1" customWidth="1"/>
    <col min="5" max="5" width="48.140625" bestFit="1" customWidth="1"/>
    <col min="6" max="6" width="19.7109375" hidden="1" customWidth="1"/>
    <col min="7" max="7" width="12.7109375" customWidth="1"/>
    <col min="8" max="8" width="15.5703125" bestFit="1" customWidth="1"/>
    <col min="9" max="9" width="17.7109375" bestFit="1" customWidth="1"/>
    <col min="10" max="10" width="21.5703125" customWidth="1"/>
    <col min="11" max="11" width="10.5703125" style="9" bestFit="1" customWidth="1"/>
    <col min="12" max="12" width="10.7109375" style="9" bestFit="1" customWidth="1"/>
    <col min="13" max="13" width="22.42578125" bestFit="1" customWidth="1"/>
    <col min="14" max="14" width="14" bestFit="1" customWidth="1"/>
    <col min="15" max="15" width="10.85546875" bestFit="1" customWidth="1"/>
    <col min="16" max="16" width="11.42578125" bestFit="1" customWidth="1"/>
    <col min="17" max="17" width="11.140625" bestFit="1" customWidth="1"/>
    <col min="18" max="18" width="10" bestFit="1" customWidth="1"/>
    <col min="19" max="19" width="19.28515625" customWidth="1"/>
    <col min="20" max="20" width="9.5703125" bestFit="1" customWidth="1"/>
    <col min="21" max="21" width="9.85546875" bestFit="1" customWidth="1"/>
    <col min="22" max="22" width="12.85546875" bestFit="1" customWidth="1"/>
    <col min="23" max="23" width="22.42578125" bestFit="1" customWidth="1"/>
    <col min="24" max="24" width="9.42578125" bestFit="1" customWidth="1"/>
    <col min="25" max="25" width="14.85546875" bestFit="1" customWidth="1"/>
    <col min="26" max="26" width="19.7109375" bestFit="1" customWidth="1"/>
    <col min="27" max="27" width="29.85546875" bestFit="1" customWidth="1"/>
    <col min="28" max="28" width="16.42578125" bestFit="1" customWidth="1"/>
    <col min="29" max="29" width="15.28515625" bestFit="1" customWidth="1"/>
    <col min="30" max="30" width="15.140625" bestFit="1" customWidth="1"/>
    <col min="31" max="31" width="20.140625" hidden="1" customWidth="1"/>
    <col min="32" max="32" width="23.7109375" customWidth="1"/>
    <col min="33" max="33" width="9.28515625" bestFit="1" customWidth="1"/>
    <col min="34" max="34" width="9.5703125" bestFit="1" customWidth="1"/>
    <col min="35" max="35" width="13.140625" bestFit="1" customWidth="1"/>
    <col min="36" max="36" width="9.7109375" bestFit="1" customWidth="1"/>
    <col min="37" max="37" width="9.42578125" bestFit="1" customWidth="1"/>
    <col min="38" max="38" width="15.28515625" bestFit="1" customWidth="1"/>
    <col min="39" max="39" width="15.140625" bestFit="1" customWidth="1"/>
    <col min="40" max="40" width="12.28515625" hidden="1" customWidth="1"/>
    <col min="41" max="41" width="13.85546875" customWidth="1"/>
    <col min="42" max="42" width="9.28515625" bestFit="1" customWidth="1"/>
    <col min="43" max="43" width="9.5703125" bestFit="1" customWidth="1"/>
    <col min="44" max="44" width="16.7109375" bestFit="1" customWidth="1"/>
    <col min="45" max="45" width="13.42578125" bestFit="1" customWidth="1"/>
    <col min="46" max="46" width="9.42578125" bestFit="1" customWidth="1"/>
    <col min="47" max="47" width="14.28515625" bestFit="1" customWidth="1"/>
  </cols>
  <sheetData>
    <row r="1" spans="1:48" x14ac:dyDescent="0.25">
      <c r="A1" s="1" t="s">
        <v>0</v>
      </c>
      <c r="B1" s="1" t="s">
        <v>358</v>
      </c>
      <c r="C1" s="1" t="s">
        <v>1</v>
      </c>
      <c r="D1" s="10" t="s">
        <v>2</v>
      </c>
      <c r="E1" s="1" t="s">
        <v>198</v>
      </c>
      <c r="F1" s="1" t="s">
        <v>221</v>
      </c>
      <c r="G1" s="1" t="s">
        <v>3</v>
      </c>
      <c r="H1" s="1" t="s">
        <v>222</v>
      </c>
      <c r="I1" s="1" t="s">
        <v>223</v>
      </c>
      <c r="J1" s="1" t="s">
        <v>4</v>
      </c>
      <c r="K1" s="10" t="s">
        <v>359</v>
      </c>
      <c r="L1" s="10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19</v>
      </c>
      <c r="Z1" s="1" t="s">
        <v>357</v>
      </c>
      <c r="AA1" s="1" t="s">
        <v>18</v>
      </c>
      <c r="AB1" s="1" t="s">
        <v>20</v>
      </c>
      <c r="AC1" s="2" t="s">
        <v>22</v>
      </c>
      <c r="AD1" s="2" t="s">
        <v>23</v>
      </c>
      <c r="AE1" s="2" t="s">
        <v>21</v>
      </c>
      <c r="AF1" s="2" t="s">
        <v>24</v>
      </c>
      <c r="AG1" s="2" t="s">
        <v>25</v>
      </c>
      <c r="AH1" s="2" t="s">
        <v>26</v>
      </c>
      <c r="AI1" s="2" t="s">
        <v>27</v>
      </c>
      <c r="AJ1" s="2" t="s">
        <v>28</v>
      </c>
      <c r="AK1" s="2" t="s">
        <v>29</v>
      </c>
      <c r="AL1" s="3" t="s">
        <v>30</v>
      </c>
      <c r="AM1" s="3" t="s">
        <v>38</v>
      </c>
      <c r="AN1" s="3" t="s">
        <v>31</v>
      </c>
      <c r="AO1" s="3" t="s">
        <v>32</v>
      </c>
      <c r="AP1" s="3" t="s">
        <v>33</v>
      </c>
      <c r="AQ1" s="3" t="s">
        <v>34</v>
      </c>
      <c r="AR1" s="3" t="s">
        <v>35</v>
      </c>
      <c r="AS1" s="3" t="s">
        <v>36</v>
      </c>
      <c r="AT1" s="3" t="s">
        <v>37</v>
      </c>
      <c r="AU1" s="4" t="s">
        <v>39</v>
      </c>
      <c r="AV1" s="17" t="s">
        <v>471</v>
      </c>
    </row>
    <row r="2" spans="1:48" x14ac:dyDescent="0.25">
      <c r="D2"/>
    </row>
    <row r="3" spans="1:48" x14ac:dyDescent="0.25">
      <c r="D3"/>
    </row>
    <row r="4" spans="1:48" x14ac:dyDescent="0.25">
      <c r="D4"/>
    </row>
    <row r="5" spans="1:48" x14ac:dyDescent="0.25">
      <c r="D5"/>
    </row>
    <row r="6" spans="1:48" x14ac:dyDescent="0.25">
      <c r="D6"/>
    </row>
    <row r="7" spans="1:48" x14ac:dyDescent="0.25">
      <c r="D7"/>
    </row>
    <row r="8" spans="1:48" x14ac:dyDescent="0.25">
      <c r="D8"/>
    </row>
    <row r="9" spans="1:48" x14ac:dyDescent="0.25">
      <c r="D9"/>
    </row>
    <row r="10" spans="1:48" x14ac:dyDescent="0.25">
      <c r="D10"/>
    </row>
    <row r="11" spans="1:48" x14ac:dyDescent="0.25">
      <c r="D11"/>
    </row>
    <row r="12" spans="1:48" x14ac:dyDescent="0.25">
      <c r="D12"/>
    </row>
    <row r="13" spans="1:48" x14ac:dyDescent="0.25">
      <c r="D13"/>
    </row>
    <row r="14" spans="1:48" x14ac:dyDescent="0.25">
      <c r="D14"/>
    </row>
    <row r="15" spans="1:48" x14ac:dyDescent="0.25">
      <c r="D15"/>
    </row>
    <row r="16" spans="1:48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5" x14ac:dyDescent="0.25">
      <c r="D33"/>
    </row>
    <row r="34" spans="4:5" x14ac:dyDescent="0.25">
      <c r="D34"/>
    </row>
    <row r="35" spans="4:5" x14ac:dyDescent="0.25">
      <c r="D35"/>
    </row>
    <row r="36" spans="4:5" x14ac:dyDescent="0.25">
      <c r="D36"/>
    </row>
    <row r="37" spans="4:5" x14ac:dyDescent="0.25">
      <c r="D37"/>
    </row>
    <row r="38" spans="4:5" x14ac:dyDescent="0.25">
      <c r="D38"/>
    </row>
    <row r="39" spans="4:5" x14ac:dyDescent="0.25">
      <c r="D39"/>
    </row>
    <row r="40" spans="4:5" x14ac:dyDescent="0.25">
      <c r="D40"/>
      <c r="E40" s="12"/>
    </row>
    <row r="41" spans="4:5" x14ac:dyDescent="0.25">
      <c r="D41"/>
      <c r="E41" s="12"/>
    </row>
    <row r="42" spans="4:5" x14ac:dyDescent="0.25">
      <c r="D42"/>
    </row>
    <row r="43" spans="4:5" x14ac:dyDescent="0.25">
      <c r="D43"/>
    </row>
    <row r="44" spans="4:5" x14ac:dyDescent="0.25">
      <c r="D44"/>
    </row>
    <row r="45" spans="4:5" x14ac:dyDescent="0.25">
      <c r="D45"/>
    </row>
    <row r="46" spans="4:5" x14ac:dyDescent="0.25">
      <c r="D46"/>
    </row>
    <row r="47" spans="4:5" x14ac:dyDescent="0.25">
      <c r="D47"/>
    </row>
    <row r="48" spans="4:5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sqref="A1:XFD1048576"/>
    </sheetView>
  </sheetViews>
  <sheetFormatPr defaultRowHeight="15" x14ac:dyDescent="0.25"/>
  <cols>
    <col min="17" max="17" width="11.1406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5"/>
  <sheetViews>
    <sheetView workbookViewId="0">
      <selection activeCell="J18" sqref="J18"/>
    </sheetView>
  </sheetViews>
  <sheetFormatPr defaultRowHeight="15" x14ac:dyDescent="0.25"/>
  <cols>
    <col min="1" max="1" width="5.5703125" bestFit="1" customWidth="1"/>
    <col min="2" max="2" width="25.7109375" bestFit="1" customWidth="1"/>
    <col min="3" max="3" width="31.42578125" bestFit="1" customWidth="1"/>
    <col min="5" max="5" width="10.85546875" bestFit="1" customWidth="1"/>
    <col min="9" max="9" width="14.28515625" bestFit="1" customWidth="1"/>
    <col min="10" max="10" width="16" customWidth="1"/>
    <col min="11" max="11" width="17.28515625" bestFit="1" customWidth="1"/>
    <col min="12" max="12" width="25" bestFit="1" customWidth="1"/>
    <col min="13" max="13" width="43.28515625" bestFit="1" customWidth="1"/>
  </cols>
  <sheetData>
    <row r="1" spans="1:13" x14ac:dyDescent="0.25">
      <c r="A1" t="s">
        <v>197</v>
      </c>
      <c r="B1" t="s">
        <v>198</v>
      </c>
      <c r="C1" t="s">
        <v>246</v>
      </c>
      <c r="E1" t="s">
        <v>247</v>
      </c>
      <c r="F1" t="s">
        <v>248</v>
      </c>
      <c r="G1" t="s">
        <v>249</v>
      </c>
      <c r="I1" t="s">
        <v>16</v>
      </c>
      <c r="L1" t="s">
        <v>308</v>
      </c>
      <c r="M1" t="s">
        <v>472</v>
      </c>
    </row>
    <row r="2" spans="1:13" x14ac:dyDescent="0.25">
      <c r="A2">
        <v>1200</v>
      </c>
      <c r="B2" t="s">
        <v>199</v>
      </c>
      <c r="C2" t="str">
        <f>CONCATENATE(A2," - ",B2)</f>
        <v>1200 - Inbound/Advanced Storage</v>
      </c>
      <c r="E2" t="s">
        <v>250</v>
      </c>
      <c r="F2" s="9" t="s">
        <v>346</v>
      </c>
      <c r="G2">
        <f ca="1">YEAR(TODAY())</f>
        <v>2018</v>
      </c>
      <c r="I2" t="s">
        <v>317</v>
      </c>
      <c r="K2" t="s">
        <v>200</v>
      </c>
      <c r="L2" t="s">
        <v>310</v>
      </c>
      <c r="M2" t="str">
        <f>CONCATENATE(K2," - ",L2)</f>
        <v>Container Storage - CT/PD/RPD</v>
      </c>
    </row>
    <row r="3" spans="1:13" x14ac:dyDescent="0.25">
      <c r="A3">
        <v>1300</v>
      </c>
      <c r="B3" t="s">
        <v>200</v>
      </c>
      <c r="C3" t="str">
        <f t="shared" ref="C3:C12" si="0">CONCATENATE(A3," - ",B3)</f>
        <v>1300 - Container Storage</v>
      </c>
      <c r="E3" t="s">
        <v>251</v>
      </c>
      <c r="F3" s="9" t="s">
        <v>347</v>
      </c>
      <c r="G3">
        <f ca="1">YEAR(TODAY())+1</f>
        <v>2019</v>
      </c>
      <c r="I3" s="11" t="s">
        <v>318</v>
      </c>
      <c r="K3" t="s">
        <v>201</v>
      </c>
      <c r="L3" t="s">
        <v>309</v>
      </c>
      <c r="M3" t="str">
        <f t="shared" ref="M3:M6" si="1">CONCATENATE(K3," - ",L3)</f>
        <v>Railcar Storage - RC/PD/RPTDS</v>
      </c>
    </row>
    <row r="4" spans="1:13" x14ac:dyDescent="0.25">
      <c r="A4">
        <v>1400</v>
      </c>
      <c r="B4" t="s">
        <v>201</v>
      </c>
      <c r="C4" t="str">
        <f t="shared" si="0"/>
        <v>1400 - Railcar Storage</v>
      </c>
      <c r="E4" t="s">
        <v>252</v>
      </c>
      <c r="F4" s="9" t="s">
        <v>348</v>
      </c>
      <c r="G4">
        <f ca="1">YEAR(TODAY())+2</f>
        <v>2020</v>
      </c>
      <c r="I4" s="11" t="s">
        <v>319</v>
      </c>
      <c r="K4" t="s">
        <v>312</v>
      </c>
      <c r="L4" t="s">
        <v>311</v>
      </c>
      <c r="M4" t="str">
        <f t="shared" si="1"/>
        <v>Range Per Pallet - WH/PP/PTD/RPP</v>
      </c>
    </row>
    <row r="5" spans="1:13" x14ac:dyDescent="0.25">
      <c r="A5">
        <v>1401</v>
      </c>
      <c r="B5" t="s">
        <v>202</v>
      </c>
      <c r="C5" t="str">
        <f t="shared" si="0"/>
        <v>1401 - Railcar Weighing</v>
      </c>
      <c r="E5" t="s">
        <v>253</v>
      </c>
      <c r="F5" s="9" t="s">
        <v>349</v>
      </c>
      <c r="G5">
        <f ca="1">YEAR(TODAY())+3</f>
        <v>2021</v>
      </c>
      <c r="I5" t="s">
        <v>320</v>
      </c>
      <c r="K5" t="s">
        <v>313</v>
      </c>
      <c r="L5" t="s">
        <v>315</v>
      </c>
      <c r="M5" t="str">
        <f t="shared" si="1"/>
        <v>Ranger Per 100 lbs - WH/PP/WTD/RPW/100PDS</v>
      </c>
    </row>
    <row r="6" spans="1:13" x14ac:dyDescent="0.25">
      <c r="A6">
        <v>1402</v>
      </c>
      <c r="B6" t="s">
        <v>203</v>
      </c>
      <c r="C6" t="str">
        <f t="shared" si="0"/>
        <v>1402 - Railcar Switch</v>
      </c>
      <c r="E6" t="s">
        <v>254</v>
      </c>
      <c r="F6" s="9" t="s">
        <v>350</v>
      </c>
      <c r="G6">
        <f ca="1">YEAR(TODAY())+4</f>
        <v>2022</v>
      </c>
      <c r="I6" t="s">
        <v>321</v>
      </c>
      <c r="K6" t="s">
        <v>314</v>
      </c>
      <c r="L6" t="s">
        <v>316</v>
      </c>
      <c r="M6" t="str">
        <f t="shared" si="1"/>
        <v>Range Per Ton - WH/PP/WTD/RPW/TON</v>
      </c>
    </row>
    <row r="7" spans="1:13" x14ac:dyDescent="0.25">
      <c r="A7">
        <v>1403</v>
      </c>
      <c r="B7" t="s">
        <v>602</v>
      </c>
      <c r="C7" t="str">
        <f t="shared" si="0"/>
        <v>1403 - Cleaning Fees</v>
      </c>
      <c r="E7" t="s">
        <v>255</v>
      </c>
      <c r="F7" s="9" t="s">
        <v>351</v>
      </c>
      <c r="G7">
        <f ca="1">YEAR(TODAY())+5</f>
        <v>2023</v>
      </c>
      <c r="I7" s="11" t="s">
        <v>322</v>
      </c>
    </row>
    <row r="8" spans="1:13" x14ac:dyDescent="0.25">
      <c r="A8">
        <v>3030</v>
      </c>
      <c r="B8" t="s">
        <v>210</v>
      </c>
      <c r="C8" t="str">
        <f t="shared" si="0"/>
        <v>3030 - Seabulk Income</v>
      </c>
      <c r="E8" t="s">
        <v>256</v>
      </c>
      <c r="F8" s="9" t="s">
        <v>352</v>
      </c>
      <c r="G8">
        <f ca="1">YEAR(TODAY())+6</f>
        <v>2024</v>
      </c>
      <c r="I8" s="11" t="s">
        <v>323</v>
      </c>
    </row>
    <row r="9" spans="1:13" x14ac:dyDescent="0.25">
      <c r="A9">
        <v>3201</v>
      </c>
      <c r="B9" t="s">
        <v>604</v>
      </c>
      <c r="C9" t="str">
        <f>CONCATENATE(A9," - ",B9)</f>
        <v>3201 - Misc Transfer Crew</v>
      </c>
      <c r="E9" t="s">
        <v>257</v>
      </c>
      <c r="F9" s="9" t="s">
        <v>353</v>
      </c>
      <c r="G9">
        <f ca="1">YEAR(TODAY())+7</f>
        <v>2025</v>
      </c>
      <c r="I9" s="11" t="s">
        <v>324</v>
      </c>
    </row>
    <row r="10" spans="1:13" x14ac:dyDescent="0.25">
      <c r="A10">
        <v>3310</v>
      </c>
      <c r="B10" t="s">
        <v>204</v>
      </c>
      <c r="C10" t="str">
        <f>CONCATENATE(A10," - ",B10)</f>
        <v>3310 - FFS Packaging</v>
      </c>
      <c r="E10" t="s">
        <v>258</v>
      </c>
      <c r="F10" s="9" t="s">
        <v>354</v>
      </c>
      <c r="G10">
        <f ca="1">YEAR(TODAY())+8</f>
        <v>2026</v>
      </c>
      <c r="I10" t="s">
        <v>325</v>
      </c>
    </row>
    <row r="11" spans="1:13" x14ac:dyDescent="0.25">
      <c r="A11">
        <v>3330</v>
      </c>
      <c r="B11" t="s">
        <v>205</v>
      </c>
      <c r="C11" t="str">
        <f t="shared" si="0"/>
        <v>3330 - Misc FFS Income</v>
      </c>
      <c r="E11" t="s">
        <v>259</v>
      </c>
      <c r="F11" s="9">
        <v>10</v>
      </c>
      <c r="G11">
        <f ca="1">YEAR(TODAY())+9</f>
        <v>2027</v>
      </c>
      <c r="I11" t="s">
        <v>326</v>
      </c>
    </row>
    <row r="12" spans="1:13" x14ac:dyDescent="0.25">
      <c r="A12">
        <v>3470</v>
      </c>
      <c r="B12" t="s">
        <v>603</v>
      </c>
      <c r="C12" t="str">
        <f t="shared" si="0"/>
        <v>3470 - Misc Semibulk</v>
      </c>
      <c r="E12" t="s">
        <v>260</v>
      </c>
      <c r="F12" s="9">
        <v>11</v>
      </c>
      <c r="G12">
        <f ca="1">YEAR(TODAY())+10</f>
        <v>2028</v>
      </c>
      <c r="I12" t="s">
        <v>327</v>
      </c>
    </row>
    <row r="13" spans="1:13" x14ac:dyDescent="0.25">
      <c r="A13">
        <v>3560</v>
      </c>
      <c r="B13" t="s">
        <v>206</v>
      </c>
      <c r="C13" t="str">
        <f t="shared" ref="C13:C35" si="2">CONCATENATE(A13," - ",B13)</f>
        <v>3560 - Loose Loading</v>
      </c>
      <c r="E13" t="s">
        <v>261</v>
      </c>
      <c r="F13" s="9">
        <v>12</v>
      </c>
      <c r="G13">
        <f ca="1">YEAR(TODAY())+11</f>
        <v>2029</v>
      </c>
      <c r="I13" t="s">
        <v>328</v>
      </c>
    </row>
    <row r="14" spans="1:13" x14ac:dyDescent="0.25">
      <c r="A14">
        <v>3600</v>
      </c>
      <c r="B14" t="s">
        <v>207</v>
      </c>
      <c r="C14" t="str">
        <f t="shared" si="2"/>
        <v>3600 - Handling Income</v>
      </c>
      <c r="F14" s="9">
        <v>13</v>
      </c>
      <c r="I14" s="18"/>
    </row>
    <row r="15" spans="1:13" x14ac:dyDescent="0.25">
      <c r="A15">
        <v>3640</v>
      </c>
      <c r="B15" t="s">
        <v>208</v>
      </c>
      <c r="C15" t="str">
        <f t="shared" si="2"/>
        <v>3640 - Misc Handling Income</v>
      </c>
      <c r="F15" s="9">
        <v>14</v>
      </c>
      <c r="I15" s="18"/>
    </row>
    <row r="16" spans="1:13" x14ac:dyDescent="0.25">
      <c r="A16">
        <v>3700</v>
      </c>
      <c r="B16" t="s">
        <v>209</v>
      </c>
      <c r="C16" t="str">
        <f t="shared" si="2"/>
        <v>3700 - Supplies</v>
      </c>
      <c r="F16" s="9">
        <v>15</v>
      </c>
    </row>
    <row r="17" spans="1:6" x14ac:dyDescent="0.25">
      <c r="A17">
        <v>3701</v>
      </c>
      <c r="B17" t="s">
        <v>555</v>
      </c>
      <c r="C17" t="str">
        <f t="shared" si="2"/>
        <v>3701 - Supplies Cost +</v>
      </c>
      <c r="F17" s="9">
        <v>16</v>
      </c>
    </row>
    <row r="18" spans="1:6" x14ac:dyDescent="0.25">
      <c r="A18">
        <v>3752</v>
      </c>
      <c r="B18" t="s">
        <v>211</v>
      </c>
      <c r="C18" t="str">
        <f t="shared" si="2"/>
        <v>3752 - Misc Seabulk Income</v>
      </c>
      <c r="F18" s="9">
        <v>17</v>
      </c>
    </row>
    <row r="19" spans="1:6" x14ac:dyDescent="0.25">
      <c r="A19">
        <v>3755</v>
      </c>
      <c r="B19" t="s">
        <v>606</v>
      </c>
      <c r="C19" t="str">
        <f t="shared" si="2"/>
        <v>3755 - OMS Packaging</v>
      </c>
      <c r="F19" s="9">
        <v>18</v>
      </c>
    </row>
    <row r="20" spans="1:6" x14ac:dyDescent="0.25">
      <c r="A20">
        <v>3765</v>
      </c>
      <c r="B20" t="s">
        <v>212</v>
      </c>
      <c r="C20" t="str">
        <f t="shared" si="2"/>
        <v>3765 - Valve Packaging</v>
      </c>
      <c r="F20" s="9">
        <v>19</v>
      </c>
    </row>
    <row r="21" spans="1:6" x14ac:dyDescent="0.25">
      <c r="A21">
        <v>3770</v>
      </c>
      <c r="B21" t="s">
        <v>213</v>
      </c>
      <c r="C21" t="str">
        <f t="shared" si="2"/>
        <v>3770 - Box Packaging</v>
      </c>
      <c r="F21" s="9">
        <v>20</v>
      </c>
    </row>
    <row r="22" spans="1:6" x14ac:dyDescent="0.25">
      <c r="A22">
        <v>3775</v>
      </c>
      <c r="B22" t="s">
        <v>605</v>
      </c>
      <c r="C22" t="str">
        <f t="shared" si="2"/>
        <v>3775 - Big Bag Packaging</v>
      </c>
      <c r="F22" s="9">
        <v>21</v>
      </c>
    </row>
    <row r="23" spans="1:6" x14ac:dyDescent="0.25">
      <c r="A23">
        <v>3776</v>
      </c>
      <c r="B23" t="s">
        <v>214</v>
      </c>
      <c r="C23" t="str">
        <f t="shared" si="2"/>
        <v>3776 - Bulktruck Filling</v>
      </c>
      <c r="F23" s="9">
        <v>22</v>
      </c>
    </row>
    <row r="24" spans="1:6" x14ac:dyDescent="0.25">
      <c r="A24">
        <v>3794</v>
      </c>
      <c r="B24" t="s">
        <v>215</v>
      </c>
      <c r="C24" t="str">
        <f t="shared" si="2"/>
        <v>3794 - Repack Bags into Bulk</v>
      </c>
      <c r="F24" s="9">
        <v>23</v>
      </c>
    </row>
    <row r="25" spans="1:6" x14ac:dyDescent="0.25">
      <c r="A25">
        <v>3795</v>
      </c>
      <c r="B25" t="s">
        <v>216</v>
      </c>
      <c r="C25" t="str">
        <f t="shared" si="2"/>
        <v>3795 - Repack Supersack into Bulk</v>
      </c>
      <c r="F25" s="9">
        <v>24</v>
      </c>
    </row>
    <row r="26" spans="1:6" x14ac:dyDescent="0.25">
      <c r="A26">
        <v>3796</v>
      </c>
      <c r="B26" t="s">
        <v>217</v>
      </c>
      <c r="C26" t="str">
        <f t="shared" si="2"/>
        <v>3796 - Repack Boxes into Bulk</v>
      </c>
      <c r="F26" s="9">
        <v>25</v>
      </c>
    </row>
    <row r="27" spans="1:6" x14ac:dyDescent="0.25">
      <c r="A27">
        <v>3801</v>
      </c>
      <c r="B27" t="s">
        <v>663</v>
      </c>
      <c r="C27" t="str">
        <f t="shared" si="2"/>
        <v>3801 - Repack Bags to FFS Bags</v>
      </c>
      <c r="F27" s="9">
        <v>26</v>
      </c>
    </row>
    <row r="28" spans="1:6" x14ac:dyDescent="0.25">
      <c r="A28">
        <v>3802</v>
      </c>
      <c r="B28" t="s">
        <v>662</v>
      </c>
      <c r="C28" t="str">
        <f t="shared" si="2"/>
        <v>3802 - Repack Bags to Boxes</v>
      </c>
      <c r="F28" s="9">
        <v>27</v>
      </c>
    </row>
    <row r="29" spans="1:6" x14ac:dyDescent="0.25">
      <c r="A29">
        <v>3803</v>
      </c>
      <c r="B29" t="s">
        <v>576</v>
      </c>
      <c r="C29" t="str">
        <f t="shared" si="2"/>
        <v>3803 - Repack Big Bags to Boxes</v>
      </c>
      <c r="F29" s="9">
        <v>28</v>
      </c>
    </row>
    <row r="30" spans="1:6" x14ac:dyDescent="0.25">
      <c r="A30">
        <v>3805</v>
      </c>
      <c r="B30" t="s">
        <v>632</v>
      </c>
      <c r="C30" t="str">
        <f t="shared" si="2"/>
        <v>3805 - Repack FFS Bags to Big Bags</v>
      </c>
      <c r="F30" s="9">
        <v>29</v>
      </c>
    </row>
    <row r="31" spans="1:6" x14ac:dyDescent="0.25">
      <c r="A31">
        <v>3806</v>
      </c>
      <c r="B31" t="s">
        <v>582</v>
      </c>
      <c r="C31" t="str">
        <f t="shared" si="2"/>
        <v>3806 - Repack Boxes to Big Bags</v>
      </c>
      <c r="F31" s="9">
        <v>30</v>
      </c>
    </row>
    <row r="32" spans="1:6" x14ac:dyDescent="0.25">
      <c r="A32">
        <v>3814</v>
      </c>
      <c r="B32" t="s">
        <v>608</v>
      </c>
      <c r="C32" t="str">
        <f t="shared" si="2"/>
        <v>3814 - Repack into Valve Bags</v>
      </c>
      <c r="F32" s="9">
        <v>31</v>
      </c>
    </row>
    <row r="33" spans="1:3" x14ac:dyDescent="0.25">
      <c r="A33">
        <v>4400</v>
      </c>
      <c r="B33" t="s">
        <v>218</v>
      </c>
      <c r="C33" t="str">
        <f t="shared" si="2"/>
        <v>4400 - Administration Revenue</v>
      </c>
    </row>
    <row r="34" spans="1:3" x14ac:dyDescent="0.25">
      <c r="A34">
        <v>5100</v>
      </c>
      <c r="B34" t="s">
        <v>219</v>
      </c>
      <c r="C34" t="str">
        <f t="shared" si="2"/>
        <v>5100 - Freight Bill Backs</v>
      </c>
    </row>
    <row r="35" spans="1:3" x14ac:dyDescent="0.25">
      <c r="A35">
        <v>5200</v>
      </c>
      <c r="B35" t="s">
        <v>220</v>
      </c>
      <c r="C35" t="str">
        <f t="shared" si="2"/>
        <v>5200 - Container transport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P25"/>
  <sheetViews>
    <sheetView workbookViewId="0">
      <selection activeCell="AB18" sqref="AB18"/>
    </sheetView>
  </sheetViews>
  <sheetFormatPr defaultRowHeight="15" x14ac:dyDescent="0.25"/>
  <cols>
    <col min="1" max="1" width="5" style="16" bestFit="1" customWidth="1"/>
    <col min="2" max="2" width="27.140625" style="16" bestFit="1" customWidth="1"/>
    <col min="3" max="3" width="5" bestFit="1" customWidth="1"/>
    <col min="4" max="4" width="23.7109375" bestFit="1" customWidth="1"/>
    <col min="5" max="5" width="5" bestFit="1" customWidth="1"/>
    <col min="6" max="6" width="22.5703125" bestFit="1" customWidth="1"/>
    <col min="7" max="7" width="5" bestFit="1" customWidth="1"/>
    <col min="8" max="8" width="15.85546875" bestFit="1" customWidth="1"/>
    <col min="9" max="9" width="5" bestFit="1" customWidth="1"/>
    <col min="10" max="10" width="48.140625" bestFit="1" customWidth="1"/>
    <col min="11" max="11" width="5" bestFit="1" customWidth="1"/>
    <col min="12" max="12" width="27.5703125" bestFit="1" customWidth="1"/>
    <col min="13" max="13" width="5" bestFit="1" customWidth="1"/>
    <col min="14" max="14" width="26.140625" bestFit="1" customWidth="1"/>
    <col min="15" max="15" width="5" bestFit="1" customWidth="1"/>
    <col min="16" max="16" width="16.7109375" bestFit="1" customWidth="1"/>
    <col min="17" max="17" width="5" bestFit="1" customWidth="1"/>
    <col min="18" max="18" width="43.42578125" bestFit="1" customWidth="1"/>
    <col min="19" max="19" width="5" bestFit="1" customWidth="1"/>
    <col min="20" max="20" width="20.7109375" bestFit="1" customWidth="1"/>
    <col min="21" max="21" width="5" bestFit="1" customWidth="1"/>
    <col min="22" max="22" width="14.28515625" bestFit="1" customWidth="1"/>
    <col min="23" max="23" width="5" bestFit="1" customWidth="1"/>
    <col min="24" max="24" width="33" bestFit="1" customWidth="1"/>
    <col min="25" max="25" width="5" bestFit="1" customWidth="1"/>
    <col min="26" max="26" width="39" bestFit="1" customWidth="1"/>
    <col min="27" max="27" width="5" bestFit="1" customWidth="1"/>
    <col min="28" max="28" width="40" bestFit="1" customWidth="1"/>
    <col min="29" max="29" width="5" bestFit="1" customWidth="1"/>
    <col min="30" max="30" width="36.5703125" bestFit="1" customWidth="1"/>
    <col min="31" max="31" width="5" bestFit="1" customWidth="1"/>
    <col min="32" max="32" width="29.28515625" bestFit="1" customWidth="1"/>
    <col min="33" max="33" width="5" bestFit="1" customWidth="1"/>
    <col min="34" max="34" width="34.85546875" bestFit="1" customWidth="1"/>
    <col min="35" max="35" width="5" bestFit="1" customWidth="1"/>
    <col min="36" max="36" width="34.42578125" bestFit="1" customWidth="1"/>
    <col min="37" max="37" width="5" bestFit="1" customWidth="1"/>
    <col min="38" max="38" width="40.7109375" bestFit="1" customWidth="1"/>
    <col min="39" max="39" width="5" bestFit="1" customWidth="1"/>
    <col min="40" max="40" width="39" bestFit="1" customWidth="1"/>
    <col min="41" max="41" width="5" bestFit="1" customWidth="1"/>
    <col min="42" max="42" width="42.140625" bestFit="1" customWidth="1"/>
    <col min="43" max="43" width="5" bestFit="1" customWidth="1"/>
    <col min="44" max="44" width="40.7109375" bestFit="1" customWidth="1"/>
    <col min="45" max="45" width="5" bestFit="1" customWidth="1"/>
    <col min="46" max="46" width="33.85546875" bestFit="1" customWidth="1"/>
    <col min="47" max="47" width="5" bestFit="1" customWidth="1"/>
    <col min="48" max="48" width="28.85546875" bestFit="1" customWidth="1"/>
    <col min="49" max="49" width="5" bestFit="1" customWidth="1"/>
    <col min="50" max="50" width="25.140625" bestFit="1" customWidth="1"/>
    <col min="51" max="51" width="5" bestFit="1" customWidth="1"/>
    <col min="52" max="52" width="41" bestFit="1" customWidth="1"/>
    <col min="53" max="53" width="5" bestFit="1" customWidth="1"/>
    <col min="54" max="54" width="41" bestFit="1" customWidth="1"/>
    <col min="55" max="55" width="5" bestFit="1" customWidth="1"/>
    <col min="56" max="56" width="30.140625" bestFit="1" customWidth="1"/>
    <col min="57" max="57" width="5" bestFit="1" customWidth="1"/>
    <col min="58" max="58" width="30.140625" customWidth="1"/>
    <col min="59" max="59" width="5" bestFit="1" customWidth="1"/>
    <col min="60" max="60" width="23.28515625" bestFit="1" customWidth="1"/>
    <col min="61" max="61" width="5" bestFit="1" customWidth="1"/>
    <col min="62" max="62" width="32.28515625" bestFit="1" customWidth="1"/>
    <col min="63" max="63" width="5" bestFit="1" customWidth="1"/>
    <col min="64" max="64" width="40.28515625" bestFit="1" customWidth="1"/>
    <col min="65" max="65" width="5" bestFit="1" customWidth="1"/>
    <col min="66" max="66" width="27.85546875" bestFit="1" customWidth="1"/>
    <col min="67" max="67" width="5" bestFit="1" customWidth="1"/>
    <col min="68" max="68" width="25.5703125" bestFit="1" customWidth="1"/>
  </cols>
  <sheetData>
    <row r="1" spans="1:68" x14ac:dyDescent="0.25">
      <c r="A1" s="16">
        <v>1200</v>
      </c>
      <c r="B1" s="20" t="s">
        <v>339</v>
      </c>
      <c r="C1" s="16">
        <v>1300</v>
      </c>
      <c r="D1" s="20" t="s">
        <v>200</v>
      </c>
      <c r="E1" s="16">
        <v>1400</v>
      </c>
      <c r="F1" s="20" t="s">
        <v>201</v>
      </c>
      <c r="G1" s="15">
        <v>1401</v>
      </c>
      <c r="H1" s="21" t="s">
        <v>202</v>
      </c>
      <c r="I1" s="15">
        <v>1402</v>
      </c>
      <c r="J1" s="21" t="s">
        <v>334</v>
      </c>
      <c r="K1" s="15">
        <v>1403</v>
      </c>
      <c r="L1" s="23" t="s">
        <v>491</v>
      </c>
      <c r="M1" s="15">
        <v>3030</v>
      </c>
      <c r="N1" s="23" t="s">
        <v>496</v>
      </c>
      <c r="O1" s="15">
        <v>3201</v>
      </c>
      <c r="P1" s="23" t="s">
        <v>499</v>
      </c>
      <c r="Q1" s="15">
        <v>3310</v>
      </c>
      <c r="R1" s="23" t="s">
        <v>500</v>
      </c>
      <c r="S1" s="15">
        <v>3330</v>
      </c>
      <c r="T1" s="23" t="s">
        <v>505</v>
      </c>
      <c r="U1" s="15">
        <v>3470</v>
      </c>
      <c r="V1" s="23" t="s">
        <v>507</v>
      </c>
      <c r="W1" s="15">
        <v>3560</v>
      </c>
      <c r="X1" s="22" t="s">
        <v>403</v>
      </c>
      <c r="Y1" s="15">
        <v>3600</v>
      </c>
      <c r="Z1" s="15" t="s">
        <v>517</v>
      </c>
      <c r="AA1" s="15">
        <v>3640</v>
      </c>
      <c r="AB1" s="23" t="s">
        <v>527</v>
      </c>
      <c r="AC1" s="15">
        <v>3700</v>
      </c>
      <c r="AD1" s="22" t="s">
        <v>539</v>
      </c>
      <c r="AE1" s="15">
        <v>3701</v>
      </c>
      <c r="AF1" s="22" t="s">
        <v>554</v>
      </c>
      <c r="AG1" s="15">
        <v>3752</v>
      </c>
      <c r="AH1" s="22" t="s">
        <v>556</v>
      </c>
      <c r="AI1" s="15">
        <v>3755</v>
      </c>
      <c r="AJ1" s="23" t="s">
        <v>558</v>
      </c>
      <c r="AK1" s="15">
        <v>3765</v>
      </c>
      <c r="AL1" s="23" t="s">
        <v>560</v>
      </c>
      <c r="AM1" s="15">
        <v>3770</v>
      </c>
      <c r="AN1" s="23" t="s">
        <v>578</v>
      </c>
      <c r="AO1" s="15">
        <v>3775</v>
      </c>
      <c r="AP1" s="23" t="s">
        <v>563</v>
      </c>
      <c r="AQ1" s="15">
        <v>3776</v>
      </c>
      <c r="AR1" s="22" t="s">
        <v>565</v>
      </c>
      <c r="AS1" s="15">
        <v>3794</v>
      </c>
      <c r="AT1" s="23" t="s">
        <v>570</v>
      </c>
      <c r="AU1" s="15">
        <v>3795</v>
      </c>
      <c r="AV1" s="23" t="s">
        <v>566</v>
      </c>
      <c r="AW1" s="15">
        <v>3796</v>
      </c>
      <c r="AX1" s="23" t="s">
        <v>568</v>
      </c>
      <c r="AY1" s="15">
        <v>3801</v>
      </c>
      <c r="AZ1" s="23" t="s">
        <v>577</v>
      </c>
      <c r="BA1" s="15">
        <v>3802</v>
      </c>
      <c r="BB1" s="23" t="s">
        <v>573</v>
      </c>
      <c r="BC1" s="15">
        <v>3803</v>
      </c>
      <c r="BD1" s="23" t="s">
        <v>579</v>
      </c>
      <c r="BE1" s="16">
        <v>3805</v>
      </c>
      <c r="BF1" s="23" t="s">
        <v>579</v>
      </c>
      <c r="BG1" s="16">
        <v>3806</v>
      </c>
      <c r="BH1" s="23" t="s">
        <v>582</v>
      </c>
      <c r="BI1" s="15">
        <v>3814</v>
      </c>
      <c r="BJ1" s="16" t="s">
        <v>661</v>
      </c>
      <c r="BK1" s="15">
        <v>4400</v>
      </c>
      <c r="BL1" s="16" t="s">
        <v>586</v>
      </c>
      <c r="BM1" s="15">
        <v>5100</v>
      </c>
      <c r="BN1" s="22" t="s">
        <v>589</v>
      </c>
      <c r="BO1" s="15">
        <v>5200</v>
      </c>
      <c r="BP1" s="16" t="s">
        <v>598</v>
      </c>
    </row>
    <row r="2" spans="1:68" x14ac:dyDescent="0.25">
      <c r="A2" s="16">
        <v>1200</v>
      </c>
      <c r="B2" s="20" t="s">
        <v>478</v>
      </c>
      <c r="C2" s="16">
        <v>1300</v>
      </c>
      <c r="D2" s="20" t="s">
        <v>476</v>
      </c>
      <c r="E2" s="15">
        <v>1400</v>
      </c>
      <c r="F2" s="20" t="s">
        <v>488</v>
      </c>
      <c r="I2" s="15">
        <v>1402</v>
      </c>
      <c r="J2" s="21" t="s">
        <v>490</v>
      </c>
      <c r="K2" s="15">
        <v>1403</v>
      </c>
      <c r="L2" s="23" t="s">
        <v>492</v>
      </c>
      <c r="M2" s="15">
        <v>3030</v>
      </c>
      <c r="N2" s="23" t="s">
        <v>497</v>
      </c>
      <c r="Q2" s="15">
        <v>3310</v>
      </c>
      <c r="R2" s="23" t="s">
        <v>501</v>
      </c>
      <c r="S2" s="15">
        <v>3330</v>
      </c>
      <c r="T2" s="23" t="s">
        <v>506</v>
      </c>
      <c r="W2" s="15">
        <v>3560</v>
      </c>
      <c r="X2" s="22" t="s">
        <v>510</v>
      </c>
      <c r="Y2" s="15">
        <v>3600</v>
      </c>
      <c r="Z2" s="19" t="s">
        <v>512</v>
      </c>
      <c r="AA2" s="15">
        <v>3640</v>
      </c>
      <c r="AB2" s="22" t="s">
        <v>528</v>
      </c>
      <c r="AC2" s="15">
        <v>3700</v>
      </c>
      <c r="AD2" s="22" t="s">
        <v>540</v>
      </c>
      <c r="AE2" s="15">
        <v>3701</v>
      </c>
      <c r="AF2" s="22" t="s">
        <v>552</v>
      </c>
      <c r="AG2" s="15">
        <v>3752</v>
      </c>
      <c r="AH2" s="22" t="s">
        <v>557</v>
      </c>
      <c r="AI2" s="15">
        <v>3755</v>
      </c>
      <c r="AJ2" s="23" t="s">
        <v>559</v>
      </c>
      <c r="AK2" s="15">
        <v>3765</v>
      </c>
      <c r="AL2" s="23" t="s">
        <v>561</v>
      </c>
      <c r="AM2" s="15">
        <v>3770</v>
      </c>
      <c r="AN2" s="23" t="s">
        <v>581</v>
      </c>
      <c r="AO2" s="15">
        <v>3775</v>
      </c>
      <c r="AP2" s="23" t="s">
        <v>580</v>
      </c>
      <c r="AQ2" s="15">
        <v>3776</v>
      </c>
      <c r="AR2" s="23" t="s">
        <v>397</v>
      </c>
      <c r="AS2" s="15">
        <v>3794</v>
      </c>
      <c r="AT2" s="23" t="s">
        <v>571</v>
      </c>
      <c r="AU2" s="15">
        <v>3795</v>
      </c>
      <c r="AV2" s="23" t="s">
        <v>567</v>
      </c>
      <c r="AW2" s="15">
        <v>3796</v>
      </c>
      <c r="AX2" s="23" t="s">
        <v>569</v>
      </c>
      <c r="AY2" s="15">
        <v>3801</v>
      </c>
      <c r="AZ2" s="23" t="s">
        <v>572</v>
      </c>
      <c r="BA2" s="15">
        <v>3802</v>
      </c>
      <c r="BB2" s="23" t="s">
        <v>574</v>
      </c>
      <c r="BC2" s="15">
        <v>3803</v>
      </c>
      <c r="BD2" s="23" t="s">
        <v>582</v>
      </c>
      <c r="BE2" s="16"/>
      <c r="BF2" s="16"/>
      <c r="BG2" s="16"/>
      <c r="BH2" s="16"/>
      <c r="BK2" s="15">
        <v>4400</v>
      </c>
      <c r="BL2" s="16" t="s">
        <v>583</v>
      </c>
      <c r="BM2" s="15">
        <v>5100</v>
      </c>
      <c r="BN2" s="22" t="s">
        <v>590</v>
      </c>
      <c r="BO2" s="15">
        <v>5200</v>
      </c>
      <c r="BP2" s="16" t="s">
        <v>599</v>
      </c>
    </row>
    <row r="3" spans="1:68" x14ac:dyDescent="0.25">
      <c r="A3" s="16">
        <v>1200</v>
      </c>
      <c r="B3" s="20" t="s">
        <v>479</v>
      </c>
      <c r="I3" s="15">
        <v>1402</v>
      </c>
      <c r="J3" s="19" t="s">
        <v>493</v>
      </c>
      <c r="K3" s="15">
        <v>1403</v>
      </c>
      <c r="L3" s="23" t="s">
        <v>495</v>
      </c>
      <c r="M3" s="15">
        <v>3030</v>
      </c>
      <c r="N3" s="22" t="s">
        <v>498</v>
      </c>
      <c r="Q3" s="15">
        <v>3310</v>
      </c>
      <c r="R3" s="23" t="s">
        <v>502</v>
      </c>
      <c r="S3" s="15"/>
      <c r="W3" s="15">
        <v>3560</v>
      </c>
      <c r="X3" s="22" t="s">
        <v>511</v>
      </c>
      <c r="Y3" s="15">
        <v>3600</v>
      </c>
      <c r="Z3" s="22" t="s">
        <v>514</v>
      </c>
      <c r="AA3" s="15">
        <v>3640</v>
      </c>
      <c r="AB3" s="22" t="s">
        <v>531</v>
      </c>
      <c r="AC3" s="15">
        <v>3700</v>
      </c>
      <c r="AD3" s="22" t="s">
        <v>554</v>
      </c>
      <c r="AE3" s="15">
        <v>3701</v>
      </c>
      <c r="AF3" s="23" t="s">
        <v>419</v>
      </c>
      <c r="AI3" s="15">
        <v>3755</v>
      </c>
      <c r="AJ3" s="23" t="s">
        <v>635</v>
      </c>
      <c r="AK3" s="15">
        <v>3765</v>
      </c>
      <c r="AL3" s="23" t="s">
        <v>642</v>
      </c>
      <c r="AM3" s="15">
        <v>3770</v>
      </c>
      <c r="AN3" s="23" t="s">
        <v>562</v>
      </c>
      <c r="AO3" s="15">
        <v>3775</v>
      </c>
      <c r="AP3" s="23" t="s">
        <v>564</v>
      </c>
      <c r="AY3">
        <v>3801</v>
      </c>
      <c r="AZ3" s="23" t="s">
        <v>575</v>
      </c>
      <c r="BA3" s="15">
        <v>3802</v>
      </c>
      <c r="BB3" s="23" t="s">
        <v>576</v>
      </c>
      <c r="BK3" s="15">
        <v>4400</v>
      </c>
      <c r="BL3" s="22" t="s">
        <v>665</v>
      </c>
      <c r="BM3" s="15">
        <v>5100</v>
      </c>
      <c r="BN3" s="22" t="s">
        <v>591</v>
      </c>
    </row>
    <row r="4" spans="1:68" x14ac:dyDescent="0.25">
      <c r="A4" s="16">
        <v>1200</v>
      </c>
      <c r="B4" s="20" t="s">
        <v>480</v>
      </c>
      <c r="I4" s="15">
        <v>1402</v>
      </c>
      <c r="J4" s="22" t="s">
        <v>489</v>
      </c>
      <c r="K4" s="15">
        <v>1403</v>
      </c>
      <c r="L4" s="23" t="s">
        <v>494</v>
      </c>
      <c r="Q4" s="15">
        <v>3310</v>
      </c>
      <c r="R4" s="23" t="s">
        <v>371</v>
      </c>
      <c r="S4" s="15"/>
      <c r="W4" s="15">
        <v>3560</v>
      </c>
      <c r="X4" s="22" t="s">
        <v>508</v>
      </c>
      <c r="Y4" s="15">
        <v>3600</v>
      </c>
      <c r="Z4" s="19" t="s">
        <v>513</v>
      </c>
      <c r="AA4" s="15">
        <v>3640</v>
      </c>
      <c r="AB4" s="23" t="s">
        <v>537</v>
      </c>
      <c r="AC4" s="15">
        <v>3700</v>
      </c>
      <c r="AD4" s="22" t="s">
        <v>552</v>
      </c>
      <c r="AE4" s="15">
        <v>3701</v>
      </c>
      <c r="AF4" s="23" t="s">
        <v>416</v>
      </c>
      <c r="AI4" s="15">
        <v>3755</v>
      </c>
      <c r="AJ4" s="23" t="s">
        <v>639</v>
      </c>
      <c r="AK4" s="15">
        <v>3765</v>
      </c>
      <c r="AL4" s="23" t="s">
        <v>643</v>
      </c>
      <c r="AM4" s="15">
        <v>3770</v>
      </c>
      <c r="AN4" s="23" t="s">
        <v>651</v>
      </c>
      <c r="AO4" s="15">
        <v>3775</v>
      </c>
      <c r="AP4" s="23" t="s">
        <v>656</v>
      </c>
      <c r="BA4" s="15">
        <v>3802</v>
      </c>
      <c r="BB4" s="23" t="s">
        <v>578</v>
      </c>
      <c r="BK4" s="15">
        <v>4400</v>
      </c>
      <c r="BL4" s="23" t="s">
        <v>664</v>
      </c>
      <c r="BM4" s="15">
        <v>5100</v>
      </c>
      <c r="BN4" s="22" t="s">
        <v>592</v>
      </c>
    </row>
    <row r="5" spans="1:68" x14ac:dyDescent="0.25">
      <c r="A5" s="16">
        <v>1200</v>
      </c>
      <c r="B5" s="20" t="s">
        <v>379</v>
      </c>
      <c r="Q5" s="15">
        <v>3310</v>
      </c>
      <c r="R5" s="23" t="s">
        <v>503</v>
      </c>
      <c r="W5" s="15">
        <v>3560</v>
      </c>
      <c r="X5" s="22" t="s">
        <v>509</v>
      </c>
      <c r="Y5" s="15">
        <v>3600</v>
      </c>
      <c r="Z5" s="19" t="s">
        <v>360</v>
      </c>
      <c r="AA5" s="15">
        <v>3640</v>
      </c>
      <c r="AB5" s="23" t="s">
        <v>362</v>
      </c>
      <c r="AC5" s="15">
        <v>3700</v>
      </c>
      <c r="AD5" s="23" t="s">
        <v>419</v>
      </c>
      <c r="AE5" s="15">
        <v>3701</v>
      </c>
      <c r="AF5" s="23" t="s">
        <v>417</v>
      </c>
      <c r="AI5" s="15">
        <v>3755</v>
      </c>
      <c r="AJ5" s="23" t="s">
        <v>607</v>
      </c>
      <c r="AK5" s="15">
        <v>3765</v>
      </c>
      <c r="AL5" s="23" t="s">
        <v>644</v>
      </c>
      <c r="AM5" s="15">
        <v>3770</v>
      </c>
      <c r="AN5" s="23" t="s">
        <v>652</v>
      </c>
      <c r="AO5" s="15">
        <v>3775</v>
      </c>
      <c r="AP5" s="23" t="s">
        <v>657</v>
      </c>
      <c r="BA5" s="15">
        <v>3802</v>
      </c>
      <c r="BB5" s="23" t="s">
        <v>581</v>
      </c>
      <c r="BK5" s="15">
        <v>4400</v>
      </c>
      <c r="BL5" s="16" t="s">
        <v>584</v>
      </c>
      <c r="BM5" s="15">
        <v>5100</v>
      </c>
      <c r="BN5" s="22" t="s">
        <v>375</v>
      </c>
    </row>
    <row r="6" spans="1:68" x14ac:dyDescent="0.25">
      <c r="A6" s="16">
        <v>1200</v>
      </c>
      <c r="B6" s="20" t="s">
        <v>481</v>
      </c>
      <c r="Q6" s="15">
        <v>3310</v>
      </c>
      <c r="R6" s="23" t="s">
        <v>504</v>
      </c>
      <c r="Y6" s="15">
        <v>3600</v>
      </c>
      <c r="Z6" s="19" t="s">
        <v>515</v>
      </c>
      <c r="AA6" s="15">
        <v>3640</v>
      </c>
      <c r="AB6" s="23" t="s">
        <v>538</v>
      </c>
      <c r="AC6" s="15">
        <v>3700</v>
      </c>
      <c r="AD6" s="23" t="s">
        <v>416</v>
      </c>
      <c r="AE6" s="15">
        <v>3701</v>
      </c>
      <c r="AF6" s="23" t="s">
        <v>418</v>
      </c>
      <c r="AI6" s="15">
        <v>3755</v>
      </c>
      <c r="AJ6" s="23" t="s">
        <v>640</v>
      </c>
      <c r="AK6" s="15">
        <v>3765</v>
      </c>
      <c r="AL6" s="23" t="s">
        <v>645</v>
      </c>
      <c r="AM6" s="15">
        <v>3770</v>
      </c>
      <c r="AN6" s="23" t="s">
        <v>653</v>
      </c>
      <c r="AO6" s="15">
        <v>3775</v>
      </c>
      <c r="AP6" s="23" t="s">
        <v>658</v>
      </c>
      <c r="BK6" s="15">
        <v>4400</v>
      </c>
      <c r="BL6" s="16" t="s">
        <v>585</v>
      </c>
      <c r="BM6" s="15">
        <v>5100</v>
      </c>
      <c r="BN6" s="22" t="s">
        <v>593</v>
      </c>
    </row>
    <row r="7" spans="1:68" x14ac:dyDescent="0.25">
      <c r="A7" s="16">
        <v>1200</v>
      </c>
      <c r="B7" s="20" t="s">
        <v>482</v>
      </c>
      <c r="Q7" s="15">
        <v>3310</v>
      </c>
      <c r="R7" s="23" t="s">
        <v>646</v>
      </c>
      <c r="Y7" s="15">
        <v>3600</v>
      </c>
      <c r="Z7" s="19" t="s">
        <v>516</v>
      </c>
      <c r="AA7" s="15">
        <v>3640</v>
      </c>
      <c r="AB7" s="22" t="s">
        <v>529</v>
      </c>
      <c r="AC7" s="15">
        <v>3700</v>
      </c>
      <c r="AD7" s="23" t="s">
        <v>417</v>
      </c>
      <c r="AE7" s="15">
        <v>3701</v>
      </c>
      <c r="AF7" s="23" t="s">
        <v>545</v>
      </c>
      <c r="AI7" s="15">
        <v>3755</v>
      </c>
      <c r="AJ7" s="23" t="s">
        <v>641</v>
      </c>
      <c r="AK7" s="15">
        <v>3765</v>
      </c>
      <c r="AL7" s="23" t="s">
        <v>629</v>
      </c>
      <c r="AM7" s="15">
        <v>3770</v>
      </c>
      <c r="AN7" s="23" t="s">
        <v>654</v>
      </c>
      <c r="AO7" s="15">
        <v>3775</v>
      </c>
      <c r="AP7" s="23" t="s">
        <v>659</v>
      </c>
      <c r="BK7" s="15">
        <v>4400</v>
      </c>
      <c r="BL7" s="16" t="s">
        <v>390</v>
      </c>
      <c r="BM7" s="15">
        <v>5100</v>
      </c>
      <c r="BN7" s="22" t="s">
        <v>594</v>
      </c>
    </row>
    <row r="8" spans="1:68" x14ac:dyDescent="0.25">
      <c r="A8" s="16">
        <v>1200</v>
      </c>
      <c r="B8" s="20" t="s">
        <v>483</v>
      </c>
      <c r="Q8" s="15">
        <v>3310</v>
      </c>
      <c r="R8" s="23" t="s">
        <v>647</v>
      </c>
      <c r="Y8" s="15">
        <v>3600</v>
      </c>
      <c r="Z8" s="22" t="s">
        <v>521</v>
      </c>
      <c r="AA8" s="15">
        <v>3640</v>
      </c>
      <c r="AB8" s="22" t="s">
        <v>533</v>
      </c>
      <c r="AC8" s="15">
        <v>3700</v>
      </c>
      <c r="AD8" s="23" t="s">
        <v>418</v>
      </c>
      <c r="AE8" s="15">
        <v>3701</v>
      </c>
      <c r="AF8" s="23" t="s">
        <v>546</v>
      </c>
      <c r="AI8" s="15">
        <v>3755</v>
      </c>
      <c r="AJ8" s="23" t="s">
        <v>636</v>
      </c>
      <c r="AK8" s="15">
        <v>3765</v>
      </c>
      <c r="AL8" s="23" t="s">
        <v>638</v>
      </c>
      <c r="AM8" s="15">
        <v>3770</v>
      </c>
      <c r="AN8" s="23" t="s">
        <v>630</v>
      </c>
      <c r="AO8" s="15">
        <v>3775</v>
      </c>
      <c r="AP8" s="23" t="s">
        <v>631</v>
      </c>
      <c r="BK8" s="15">
        <v>4400</v>
      </c>
      <c r="BL8" s="16" t="s">
        <v>587</v>
      </c>
      <c r="BM8" s="15">
        <v>5100</v>
      </c>
      <c r="BN8" s="22" t="s">
        <v>376</v>
      </c>
    </row>
    <row r="9" spans="1:68" x14ac:dyDescent="0.25">
      <c r="A9" s="16">
        <v>1200</v>
      </c>
      <c r="B9" s="20" t="s">
        <v>380</v>
      </c>
      <c r="Q9" s="15">
        <v>3310</v>
      </c>
      <c r="R9" s="23" t="s">
        <v>648</v>
      </c>
      <c r="Y9" s="15">
        <v>3600</v>
      </c>
      <c r="Z9" s="22" t="s">
        <v>524</v>
      </c>
      <c r="AA9" s="15">
        <v>3640</v>
      </c>
      <c r="AB9" s="16" t="s">
        <v>532</v>
      </c>
      <c r="AC9" s="15">
        <v>3700</v>
      </c>
      <c r="AD9" s="23" t="s">
        <v>545</v>
      </c>
      <c r="AE9" s="15">
        <v>3701</v>
      </c>
      <c r="AF9" s="23" t="s">
        <v>547</v>
      </c>
      <c r="AI9" s="15">
        <v>3755</v>
      </c>
      <c r="AJ9" s="23" t="s">
        <v>637</v>
      </c>
      <c r="AM9" s="15">
        <v>3770</v>
      </c>
      <c r="AN9" s="23" t="s">
        <v>655</v>
      </c>
      <c r="AO9" s="15">
        <v>3775</v>
      </c>
      <c r="AP9" s="23" t="s">
        <v>660</v>
      </c>
      <c r="BK9" s="15">
        <v>4400</v>
      </c>
      <c r="BL9" s="22" t="s">
        <v>393</v>
      </c>
      <c r="BM9" s="15">
        <v>5100</v>
      </c>
      <c r="BN9" s="22" t="s">
        <v>595</v>
      </c>
    </row>
    <row r="10" spans="1:68" x14ac:dyDescent="0.25">
      <c r="A10" s="16">
        <v>1200</v>
      </c>
      <c r="B10" s="20" t="s">
        <v>484</v>
      </c>
      <c r="Q10" s="15">
        <v>3310</v>
      </c>
      <c r="R10" s="23" t="s">
        <v>649</v>
      </c>
      <c r="Y10" s="15">
        <v>3600</v>
      </c>
      <c r="Z10" s="22" t="s">
        <v>525</v>
      </c>
      <c r="AA10" s="15">
        <v>3640</v>
      </c>
      <c r="AB10" s="16" t="s">
        <v>404</v>
      </c>
      <c r="AC10" s="15">
        <v>3700</v>
      </c>
      <c r="AD10" s="23" t="s">
        <v>546</v>
      </c>
      <c r="AE10" s="15">
        <v>3701</v>
      </c>
      <c r="AF10" s="23" t="s">
        <v>553</v>
      </c>
      <c r="BK10" s="15">
        <v>4400</v>
      </c>
      <c r="BL10" s="16" t="s">
        <v>588</v>
      </c>
      <c r="BM10" s="15">
        <v>5100</v>
      </c>
      <c r="BN10" s="22" t="s">
        <v>596</v>
      </c>
    </row>
    <row r="11" spans="1:68" x14ac:dyDescent="0.25">
      <c r="A11" s="16">
        <v>1200</v>
      </c>
      <c r="B11" s="20" t="s">
        <v>486</v>
      </c>
      <c r="Q11" s="15">
        <v>3310</v>
      </c>
      <c r="R11" s="23" t="s">
        <v>650</v>
      </c>
      <c r="Y11" s="15">
        <v>3600</v>
      </c>
      <c r="Z11" s="23" t="s">
        <v>523</v>
      </c>
      <c r="AA11" s="15">
        <v>3640</v>
      </c>
      <c r="AB11" s="22" t="s">
        <v>530</v>
      </c>
      <c r="AC11" s="15">
        <v>3700</v>
      </c>
      <c r="AD11" s="23" t="s">
        <v>547</v>
      </c>
      <c r="AE11" s="15">
        <v>3701</v>
      </c>
      <c r="AF11" s="23" t="s">
        <v>543</v>
      </c>
      <c r="BM11" s="15">
        <v>5100</v>
      </c>
      <c r="BN11" s="22" t="s">
        <v>597</v>
      </c>
    </row>
    <row r="12" spans="1:68" x14ac:dyDescent="0.25">
      <c r="A12" s="16">
        <v>1200</v>
      </c>
      <c r="B12" s="20" t="s">
        <v>485</v>
      </c>
      <c r="Q12" s="15">
        <v>3310</v>
      </c>
      <c r="R12" s="23" t="s">
        <v>634</v>
      </c>
      <c r="Y12" s="15">
        <v>3600</v>
      </c>
      <c r="Z12" s="23" t="s">
        <v>522</v>
      </c>
      <c r="AA12" s="15">
        <v>3640</v>
      </c>
      <c r="AB12" s="22" t="s">
        <v>526</v>
      </c>
      <c r="AC12" s="15">
        <v>3700</v>
      </c>
      <c r="AD12" s="23" t="s">
        <v>553</v>
      </c>
      <c r="AE12" s="15">
        <v>3701</v>
      </c>
      <c r="AF12" s="23" t="s">
        <v>544</v>
      </c>
      <c r="BM12" s="15">
        <v>5100</v>
      </c>
      <c r="BN12" s="22" t="s">
        <v>600</v>
      </c>
    </row>
    <row r="13" spans="1:68" x14ac:dyDescent="0.25">
      <c r="A13" s="16">
        <v>1200</v>
      </c>
      <c r="B13" s="20" t="s">
        <v>487</v>
      </c>
      <c r="Q13" s="15">
        <v>3310</v>
      </c>
      <c r="R13" s="23" t="s">
        <v>633</v>
      </c>
      <c r="Y13" s="15">
        <v>3600</v>
      </c>
      <c r="Z13" s="22" t="s">
        <v>409</v>
      </c>
      <c r="AA13" s="15">
        <v>3640</v>
      </c>
      <c r="AB13" s="16" t="s">
        <v>381</v>
      </c>
      <c r="AC13" s="15">
        <v>3700</v>
      </c>
      <c r="AD13" s="23" t="s">
        <v>543</v>
      </c>
      <c r="AE13" s="15">
        <v>3701</v>
      </c>
      <c r="AF13" s="23" t="s">
        <v>412</v>
      </c>
      <c r="BM13" s="15">
        <v>5100</v>
      </c>
      <c r="BN13" s="22" t="s">
        <v>601</v>
      </c>
    </row>
    <row r="14" spans="1:68" x14ac:dyDescent="0.25">
      <c r="AA14" s="15">
        <v>3640</v>
      </c>
      <c r="AB14" s="16" t="s">
        <v>382</v>
      </c>
      <c r="AC14" s="15">
        <v>3700</v>
      </c>
      <c r="AD14" s="23" t="s">
        <v>544</v>
      </c>
      <c r="AE14" s="15">
        <v>3701</v>
      </c>
      <c r="AF14" s="23" t="s">
        <v>411</v>
      </c>
    </row>
    <row r="15" spans="1:68" x14ac:dyDescent="0.25">
      <c r="AA15" s="15">
        <v>3640</v>
      </c>
      <c r="AB15" s="16" t="s">
        <v>387</v>
      </c>
      <c r="AC15" s="15">
        <v>3700</v>
      </c>
      <c r="AD15" s="23" t="s">
        <v>412</v>
      </c>
      <c r="AE15" s="15">
        <v>3701</v>
      </c>
      <c r="AF15" s="23" t="s">
        <v>549</v>
      </c>
    </row>
    <row r="16" spans="1:68" x14ac:dyDescent="0.25">
      <c r="AA16" s="15">
        <v>3640</v>
      </c>
      <c r="AB16" s="16" t="s">
        <v>388</v>
      </c>
      <c r="AC16" s="15">
        <v>3700</v>
      </c>
      <c r="AD16" s="23" t="s">
        <v>411</v>
      </c>
      <c r="AE16" s="15">
        <v>3701</v>
      </c>
      <c r="AF16" s="23" t="s">
        <v>415</v>
      </c>
    </row>
    <row r="17" spans="27:32" x14ac:dyDescent="0.25">
      <c r="AA17" s="15">
        <v>3640</v>
      </c>
      <c r="AB17" s="16" t="s">
        <v>518</v>
      </c>
      <c r="AC17" s="15">
        <v>3700</v>
      </c>
      <c r="AD17" s="23" t="s">
        <v>549</v>
      </c>
      <c r="AE17" s="15">
        <v>3701</v>
      </c>
      <c r="AF17" s="23" t="s">
        <v>542</v>
      </c>
    </row>
    <row r="18" spans="27:32" x14ac:dyDescent="0.25">
      <c r="AA18" s="15">
        <v>3640</v>
      </c>
      <c r="AB18" s="16" t="s">
        <v>519</v>
      </c>
      <c r="AC18" s="15">
        <v>3700</v>
      </c>
      <c r="AD18" s="23" t="s">
        <v>415</v>
      </c>
      <c r="AE18" s="15">
        <v>3701</v>
      </c>
      <c r="AF18" s="16" t="s">
        <v>541</v>
      </c>
    </row>
    <row r="19" spans="27:32" x14ac:dyDescent="0.25">
      <c r="AA19" s="15">
        <v>3640</v>
      </c>
      <c r="AB19" s="16" t="s">
        <v>520</v>
      </c>
      <c r="AC19" s="15">
        <v>3700</v>
      </c>
      <c r="AD19" s="23" t="s">
        <v>542</v>
      </c>
      <c r="AE19" s="15">
        <v>3701</v>
      </c>
      <c r="AF19" s="22" t="s">
        <v>548</v>
      </c>
    </row>
    <row r="20" spans="27:32" x14ac:dyDescent="0.25">
      <c r="AA20" s="15">
        <v>3640</v>
      </c>
      <c r="AB20" s="16" t="s">
        <v>534</v>
      </c>
      <c r="AC20" s="15">
        <v>3700</v>
      </c>
      <c r="AD20" s="15" t="s">
        <v>541</v>
      </c>
      <c r="AE20" s="15">
        <v>3701</v>
      </c>
      <c r="AF20" s="22" t="s">
        <v>423</v>
      </c>
    </row>
    <row r="21" spans="27:32" x14ac:dyDescent="0.25">
      <c r="AA21" s="15">
        <v>3640</v>
      </c>
      <c r="AB21" s="16" t="s">
        <v>535</v>
      </c>
      <c r="AC21" s="15">
        <v>3700</v>
      </c>
      <c r="AD21" s="22" t="s">
        <v>548</v>
      </c>
      <c r="AE21" s="15">
        <v>3701</v>
      </c>
      <c r="AF21" s="22" t="s">
        <v>550</v>
      </c>
    </row>
    <row r="22" spans="27:32" x14ac:dyDescent="0.25">
      <c r="AA22" s="15">
        <v>3640</v>
      </c>
      <c r="AB22" s="16" t="s">
        <v>536</v>
      </c>
      <c r="AC22" s="15">
        <v>3700</v>
      </c>
      <c r="AD22" s="22" t="s">
        <v>423</v>
      </c>
      <c r="AE22" s="15">
        <v>3701</v>
      </c>
      <c r="AF22" s="22" t="s">
        <v>551</v>
      </c>
    </row>
    <row r="23" spans="27:32" x14ac:dyDescent="0.25">
      <c r="AC23" s="15">
        <v>3700</v>
      </c>
      <c r="AD23" s="22" t="s">
        <v>550</v>
      </c>
      <c r="AE23" s="15">
        <v>3701</v>
      </c>
      <c r="AF23" s="22" t="s">
        <v>422</v>
      </c>
    </row>
    <row r="24" spans="27:32" x14ac:dyDescent="0.25">
      <c r="AC24" s="15">
        <v>3700</v>
      </c>
      <c r="AD24" s="22" t="s">
        <v>551</v>
      </c>
    </row>
    <row r="25" spans="27:32" x14ac:dyDescent="0.25">
      <c r="AC25" s="15">
        <v>3700</v>
      </c>
      <c r="AD25" s="22" t="s">
        <v>422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"/>
  <sheetViews>
    <sheetView workbookViewId="0">
      <selection activeCell="C2" sqref="C2"/>
    </sheetView>
  </sheetViews>
  <sheetFormatPr defaultRowHeight="15" x14ac:dyDescent="0.25"/>
  <cols>
    <col min="1" max="1" width="11.28515625" bestFit="1" customWidth="1"/>
    <col min="2" max="2" width="14.7109375" bestFit="1" customWidth="1"/>
    <col min="3" max="3" width="15.140625" customWidth="1"/>
    <col min="4" max="4" width="11.28515625" bestFit="1" customWidth="1"/>
    <col min="5" max="5" width="14.7109375" bestFit="1" customWidth="1"/>
  </cols>
  <sheetData>
    <row r="1" spans="1:3" x14ac:dyDescent="0.25">
      <c r="A1" t="s">
        <v>224</v>
      </c>
      <c r="B1" t="s">
        <v>225</v>
      </c>
      <c r="C1" t="s">
        <v>609</v>
      </c>
    </row>
    <row r="2" spans="1:3" x14ac:dyDescent="0.25">
      <c r="A2" t="s">
        <v>226</v>
      </c>
      <c r="B2" t="s">
        <v>227</v>
      </c>
    </row>
    <row r="3" spans="1:3" x14ac:dyDescent="0.25">
      <c r="A3" t="s">
        <v>283</v>
      </c>
      <c r="B3" t="s">
        <v>228</v>
      </c>
    </row>
    <row r="4" spans="1:3" x14ac:dyDescent="0.25">
      <c r="A4" t="s">
        <v>229</v>
      </c>
      <c r="B4" t="s">
        <v>230</v>
      </c>
    </row>
    <row r="5" spans="1:3" x14ac:dyDescent="0.25">
      <c r="A5" t="s">
        <v>231</v>
      </c>
      <c r="B5" t="s">
        <v>232</v>
      </c>
    </row>
    <row r="6" spans="1:3" x14ac:dyDescent="0.25">
      <c r="A6" t="s">
        <v>233</v>
      </c>
      <c r="B6" t="s">
        <v>234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1"/>
  <sheetViews>
    <sheetView zoomScaleNormal="100" workbookViewId="0">
      <selection activeCell="C12" sqref="A1:L91"/>
    </sheetView>
  </sheetViews>
  <sheetFormatPr defaultRowHeight="15" x14ac:dyDescent="0.25"/>
  <cols>
    <col min="1" max="1" width="26.85546875" bestFit="1" customWidth="1"/>
    <col min="2" max="2" width="20" bestFit="1" customWidth="1"/>
    <col min="3" max="3" width="20" customWidth="1"/>
    <col min="4" max="4" width="22.140625" bestFit="1" customWidth="1"/>
    <col min="5" max="5" width="22.140625" customWidth="1"/>
    <col min="6" max="6" width="19.7109375" bestFit="1" customWidth="1"/>
    <col min="7" max="7" width="22.7109375" bestFit="1" customWidth="1"/>
    <col min="8" max="8" width="14.85546875" bestFit="1" customWidth="1"/>
    <col min="9" max="9" width="14.42578125" bestFit="1" customWidth="1"/>
    <col min="10" max="10" width="20.7109375" bestFit="1" customWidth="1"/>
    <col min="11" max="11" width="14.85546875" bestFit="1" customWidth="1"/>
    <col min="12" max="12" width="15.42578125" bestFit="1" customWidth="1"/>
  </cols>
  <sheetData>
    <row r="1" spans="1:12" x14ac:dyDescent="0.25">
      <c r="A1" t="s">
        <v>45</v>
      </c>
      <c r="B1" t="s">
        <v>44</v>
      </c>
      <c r="C1" t="s">
        <v>175</v>
      </c>
      <c r="D1" t="s">
        <v>263</v>
      </c>
      <c r="E1" t="s">
        <v>264</v>
      </c>
      <c r="F1" t="s">
        <v>46</v>
      </c>
      <c r="G1" t="s">
        <v>180</v>
      </c>
      <c r="H1" t="s">
        <v>191</v>
      </c>
      <c r="I1" t="s">
        <v>192</v>
      </c>
      <c r="J1" t="s">
        <v>269</v>
      </c>
      <c r="K1" t="s">
        <v>268</v>
      </c>
      <c r="L1" t="s">
        <v>193</v>
      </c>
    </row>
    <row r="2" spans="1:12" x14ac:dyDescent="0.25">
      <c r="A2" t="s">
        <v>58</v>
      </c>
      <c r="B2" t="s">
        <v>49</v>
      </c>
      <c r="C2" t="s">
        <v>196</v>
      </c>
      <c r="D2" t="s">
        <v>168</v>
      </c>
      <c r="E2" s="14" t="s">
        <v>50</v>
      </c>
      <c r="F2" t="s">
        <v>47</v>
      </c>
      <c r="G2" t="s">
        <v>178</v>
      </c>
      <c r="H2" t="s">
        <v>194</v>
      </c>
      <c r="I2" t="s">
        <v>194</v>
      </c>
      <c r="J2" t="s">
        <v>272</v>
      </c>
      <c r="K2" t="s">
        <v>267</v>
      </c>
      <c r="L2" t="s">
        <v>195</v>
      </c>
    </row>
    <row r="3" spans="1:12" x14ac:dyDescent="0.25">
      <c r="A3" t="s">
        <v>57</v>
      </c>
      <c r="B3" s="14" t="s">
        <v>176</v>
      </c>
      <c r="C3" t="s">
        <v>177</v>
      </c>
      <c r="D3" t="s">
        <v>144</v>
      </c>
      <c r="E3" t="s">
        <v>62</v>
      </c>
      <c r="F3" t="s">
        <v>68</v>
      </c>
      <c r="G3" t="s">
        <v>179</v>
      </c>
      <c r="J3" t="s">
        <v>271</v>
      </c>
      <c r="K3" t="s">
        <v>270</v>
      </c>
    </row>
    <row r="4" spans="1:12" x14ac:dyDescent="0.25">
      <c r="A4" t="s">
        <v>40</v>
      </c>
      <c r="B4" t="s">
        <v>67</v>
      </c>
      <c r="D4" t="s">
        <v>132</v>
      </c>
      <c r="E4" t="s">
        <v>265</v>
      </c>
      <c r="F4" t="s">
        <v>69</v>
      </c>
      <c r="G4" t="s">
        <v>181</v>
      </c>
      <c r="J4" t="s">
        <v>273</v>
      </c>
    </row>
    <row r="5" spans="1:12" x14ac:dyDescent="0.25">
      <c r="A5" t="s">
        <v>56</v>
      </c>
      <c r="B5" t="s">
        <v>80</v>
      </c>
      <c r="D5" s="14" t="s">
        <v>125</v>
      </c>
      <c r="E5" t="s">
        <v>59</v>
      </c>
      <c r="F5" t="s">
        <v>99</v>
      </c>
      <c r="G5" t="s">
        <v>182</v>
      </c>
      <c r="J5" t="s">
        <v>274</v>
      </c>
    </row>
    <row r="6" spans="1:12" x14ac:dyDescent="0.25">
      <c r="A6" s="14" t="s">
        <v>55</v>
      </c>
      <c r="B6" t="s">
        <v>82</v>
      </c>
      <c r="D6" t="s">
        <v>148</v>
      </c>
      <c r="E6" t="s">
        <v>63</v>
      </c>
      <c r="F6" t="s">
        <v>109</v>
      </c>
      <c r="G6" t="s">
        <v>183</v>
      </c>
      <c r="J6" t="s">
        <v>275</v>
      </c>
    </row>
    <row r="7" spans="1:12" x14ac:dyDescent="0.25">
      <c r="A7" s="14" t="s">
        <v>54</v>
      </c>
      <c r="B7" t="s">
        <v>90</v>
      </c>
      <c r="D7" t="s">
        <v>106</v>
      </c>
      <c r="E7" t="s">
        <v>266</v>
      </c>
      <c r="F7" t="s">
        <v>122</v>
      </c>
      <c r="G7" t="s">
        <v>184</v>
      </c>
      <c r="J7" t="s">
        <v>276</v>
      </c>
    </row>
    <row r="8" spans="1:12" x14ac:dyDescent="0.25">
      <c r="A8" s="14" t="s">
        <v>53</v>
      </c>
      <c r="B8" t="s">
        <v>112</v>
      </c>
      <c r="D8" t="s">
        <v>100</v>
      </c>
      <c r="E8" t="s">
        <v>70</v>
      </c>
      <c r="F8" t="s">
        <v>127</v>
      </c>
      <c r="G8" t="s">
        <v>185</v>
      </c>
      <c r="J8" t="s">
        <v>189</v>
      </c>
    </row>
    <row r="9" spans="1:12" x14ac:dyDescent="0.25">
      <c r="A9" s="14" t="s">
        <v>52</v>
      </c>
      <c r="B9" t="s">
        <v>115</v>
      </c>
      <c r="D9" t="s">
        <v>77</v>
      </c>
      <c r="E9" t="s">
        <v>187</v>
      </c>
      <c r="F9" t="s">
        <v>128</v>
      </c>
      <c r="G9" t="s">
        <v>186</v>
      </c>
      <c r="J9" t="s">
        <v>277</v>
      </c>
    </row>
    <row r="10" spans="1:12" x14ac:dyDescent="0.25">
      <c r="A10" s="14" t="s">
        <v>51</v>
      </c>
      <c r="B10" t="s">
        <v>120</v>
      </c>
      <c r="D10" t="s">
        <v>72</v>
      </c>
      <c r="E10" t="s">
        <v>91</v>
      </c>
      <c r="F10" t="s">
        <v>129</v>
      </c>
      <c r="G10" t="s">
        <v>187</v>
      </c>
      <c r="J10" t="s">
        <v>278</v>
      </c>
    </row>
    <row r="11" spans="1:12" x14ac:dyDescent="0.25">
      <c r="A11" s="14" t="s">
        <v>60</v>
      </c>
      <c r="B11" t="s">
        <v>131</v>
      </c>
      <c r="D11" t="s">
        <v>50</v>
      </c>
      <c r="E11" t="s">
        <v>48</v>
      </c>
      <c r="F11" t="s">
        <v>134</v>
      </c>
      <c r="G11" t="s">
        <v>188</v>
      </c>
      <c r="J11" t="s">
        <v>279</v>
      </c>
    </row>
    <row r="12" spans="1:12" x14ac:dyDescent="0.25">
      <c r="A12" s="14" t="s">
        <v>61</v>
      </c>
      <c r="B12" t="s">
        <v>136</v>
      </c>
      <c r="E12" t="s">
        <v>123</v>
      </c>
      <c r="F12" t="s">
        <v>154</v>
      </c>
      <c r="G12" t="s">
        <v>189</v>
      </c>
      <c r="J12" t="s">
        <v>280</v>
      </c>
    </row>
    <row r="13" spans="1:12" x14ac:dyDescent="0.25">
      <c r="A13" s="14" t="s">
        <v>64</v>
      </c>
      <c r="B13" t="s">
        <v>140</v>
      </c>
      <c r="E13" t="s">
        <v>126</v>
      </c>
      <c r="F13" t="s">
        <v>155</v>
      </c>
      <c r="G13" t="s">
        <v>190</v>
      </c>
      <c r="J13" t="s">
        <v>281</v>
      </c>
    </row>
    <row r="14" spans="1:12" x14ac:dyDescent="0.25">
      <c r="A14" s="14" t="s">
        <v>65</v>
      </c>
      <c r="B14" t="s">
        <v>142</v>
      </c>
      <c r="E14" t="s">
        <v>143</v>
      </c>
      <c r="F14" t="s">
        <v>164</v>
      </c>
      <c r="J14" t="s">
        <v>282</v>
      </c>
    </row>
    <row r="15" spans="1:12" x14ac:dyDescent="0.25">
      <c r="A15" s="14" t="s">
        <v>66</v>
      </c>
      <c r="B15" t="s">
        <v>145</v>
      </c>
      <c r="E15" t="s">
        <v>167</v>
      </c>
      <c r="F15" t="s">
        <v>172</v>
      </c>
    </row>
    <row r="16" spans="1:12" x14ac:dyDescent="0.25">
      <c r="A16" s="14" t="s">
        <v>41</v>
      </c>
      <c r="B16" t="s">
        <v>149</v>
      </c>
    </row>
    <row r="17" spans="1:5" x14ac:dyDescent="0.25">
      <c r="A17" s="14" t="s">
        <v>67</v>
      </c>
      <c r="B17" t="s">
        <v>153</v>
      </c>
      <c r="C17" s="5"/>
      <c r="E17" s="5"/>
    </row>
    <row r="18" spans="1:5" x14ac:dyDescent="0.25">
      <c r="A18" s="14" t="s">
        <v>71</v>
      </c>
      <c r="B18" t="s">
        <v>162</v>
      </c>
    </row>
    <row r="19" spans="1:5" x14ac:dyDescent="0.25">
      <c r="A19" s="14" t="s">
        <v>73</v>
      </c>
      <c r="B19" t="s">
        <v>170</v>
      </c>
    </row>
    <row r="20" spans="1:5" x14ac:dyDescent="0.25">
      <c r="A20" s="14" t="s">
        <v>74</v>
      </c>
    </row>
    <row r="21" spans="1:5" x14ac:dyDescent="0.25">
      <c r="A21" s="14" t="s">
        <v>75</v>
      </c>
    </row>
    <row r="22" spans="1:5" x14ac:dyDescent="0.25">
      <c r="A22" s="14" t="s">
        <v>76</v>
      </c>
    </row>
    <row r="23" spans="1:5" x14ac:dyDescent="0.25">
      <c r="A23" s="14" t="s">
        <v>83</v>
      </c>
    </row>
    <row r="24" spans="1:5" x14ac:dyDescent="0.25">
      <c r="A24" s="14" t="s">
        <v>84</v>
      </c>
    </row>
    <row r="25" spans="1:5" x14ac:dyDescent="0.25">
      <c r="A25" s="14" t="s">
        <v>85</v>
      </c>
    </row>
    <row r="26" spans="1:5" x14ac:dyDescent="0.25">
      <c r="A26" s="14" t="s">
        <v>78</v>
      </c>
    </row>
    <row r="27" spans="1:5" x14ac:dyDescent="0.25">
      <c r="A27" s="14" t="s">
        <v>79</v>
      </c>
    </row>
    <row r="28" spans="1:5" x14ac:dyDescent="0.25">
      <c r="A28" s="14" t="s">
        <v>80</v>
      </c>
    </row>
    <row r="29" spans="1:5" x14ac:dyDescent="0.25">
      <c r="A29" s="14" t="s">
        <v>81</v>
      </c>
    </row>
    <row r="30" spans="1:5" x14ac:dyDescent="0.25">
      <c r="A30" s="14" t="s">
        <v>86</v>
      </c>
    </row>
    <row r="31" spans="1:5" x14ac:dyDescent="0.25">
      <c r="A31" s="14" t="s">
        <v>88</v>
      </c>
    </row>
    <row r="32" spans="1:5" x14ac:dyDescent="0.25">
      <c r="A32" s="14" t="s">
        <v>87</v>
      </c>
    </row>
    <row r="33" spans="1:1" x14ac:dyDescent="0.25">
      <c r="A33" s="14" t="s">
        <v>89</v>
      </c>
    </row>
    <row r="34" spans="1:1" x14ac:dyDescent="0.25">
      <c r="A34" s="14" t="s">
        <v>92</v>
      </c>
    </row>
    <row r="35" spans="1:1" x14ac:dyDescent="0.25">
      <c r="A35" s="14" t="s">
        <v>93</v>
      </c>
    </row>
    <row r="36" spans="1:1" x14ac:dyDescent="0.25">
      <c r="A36" s="14" t="s">
        <v>94</v>
      </c>
    </row>
    <row r="37" spans="1:1" x14ac:dyDescent="0.25">
      <c r="A37" s="14" t="s">
        <v>95</v>
      </c>
    </row>
    <row r="38" spans="1:1" x14ac:dyDescent="0.25">
      <c r="A38" s="14" t="s">
        <v>96</v>
      </c>
    </row>
    <row r="39" spans="1:1" x14ac:dyDescent="0.25">
      <c r="A39" s="14" t="s">
        <v>97</v>
      </c>
    </row>
    <row r="40" spans="1:1" x14ac:dyDescent="0.25">
      <c r="A40" s="14" t="s">
        <v>98</v>
      </c>
    </row>
    <row r="41" spans="1:1" x14ac:dyDescent="0.25">
      <c r="A41" s="14" t="s">
        <v>101</v>
      </c>
    </row>
    <row r="42" spans="1:1" x14ac:dyDescent="0.25">
      <c r="A42" s="14" t="s">
        <v>102</v>
      </c>
    </row>
    <row r="43" spans="1:1" x14ac:dyDescent="0.25">
      <c r="A43" s="14" t="s">
        <v>103</v>
      </c>
    </row>
    <row r="44" spans="1:1" x14ac:dyDescent="0.25">
      <c r="A44" s="14" t="s">
        <v>105</v>
      </c>
    </row>
    <row r="45" spans="1:1" x14ac:dyDescent="0.25">
      <c r="A45" s="14" t="s">
        <v>104</v>
      </c>
    </row>
    <row r="46" spans="1:1" x14ac:dyDescent="0.25">
      <c r="A46" s="14" t="s">
        <v>107</v>
      </c>
    </row>
    <row r="47" spans="1:1" x14ac:dyDescent="0.25">
      <c r="A47" s="14" t="s">
        <v>108</v>
      </c>
    </row>
    <row r="48" spans="1:1" x14ac:dyDescent="0.25">
      <c r="A48" s="14" t="s">
        <v>110</v>
      </c>
    </row>
    <row r="49" spans="1:1" x14ac:dyDescent="0.25">
      <c r="A49" s="14" t="s">
        <v>111</v>
      </c>
    </row>
    <row r="50" spans="1:1" x14ac:dyDescent="0.25">
      <c r="A50" s="14" t="s">
        <v>113</v>
      </c>
    </row>
    <row r="51" spans="1:1" x14ac:dyDescent="0.25">
      <c r="A51" s="14" t="s">
        <v>114</v>
      </c>
    </row>
    <row r="52" spans="1:1" x14ac:dyDescent="0.25">
      <c r="A52" s="14" t="s">
        <v>115</v>
      </c>
    </row>
    <row r="53" spans="1:1" x14ac:dyDescent="0.25">
      <c r="A53" s="14" t="s">
        <v>116</v>
      </c>
    </row>
    <row r="54" spans="1:1" x14ac:dyDescent="0.25">
      <c r="A54" s="14" t="s">
        <v>117</v>
      </c>
    </row>
    <row r="55" spans="1:1" x14ac:dyDescent="0.25">
      <c r="A55" s="14" t="s">
        <v>118</v>
      </c>
    </row>
    <row r="56" spans="1:1" x14ac:dyDescent="0.25">
      <c r="A56" s="14" t="s">
        <v>119</v>
      </c>
    </row>
    <row r="57" spans="1:1" x14ac:dyDescent="0.25">
      <c r="A57" s="14" t="s">
        <v>121</v>
      </c>
    </row>
    <row r="58" spans="1:1" x14ac:dyDescent="0.25">
      <c r="A58" s="14" t="s">
        <v>124</v>
      </c>
    </row>
    <row r="59" spans="1:1" x14ac:dyDescent="0.25">
      <c r="A59" s="14" t="s">
        <v>130</v>
      </c>
    </row>
    <row r="60" spans="1:1" x14ac:dyDescent="0.25">
      <c r="A60" s="14" t="s">
        <v>131</v>
      </c>
    </row>
    <row r="61" spans="1:1" x14ac:dyDescent="0.25">
      <c r="A61" s="14" t="s">
        <v>133</v>
      </c>
    </row>
    <row r="62" spans="1:1" x14ac:dyDescent="0.25">
      <c r="A62" s="14" t="s">
        <v>135</v>
      </c>
    </row>
    <row r="63" spans="1:1" x14ac:dyDescent="0.25">
      <c r="A63" s="14" t="s">
        <v>137</v>
      </c>
    </row>
    <row r="64" spans="1:1" x14ac:dyDescent="0.25">
      <c r="A64" s="14" t="s">
        <v>138</v>
      </c>
    </row>
    <row r="65" spans="1:1" x14ac:dyDescent="0.25">
      <c r="A65" s="14" t="s">
        <v>139</v>
      </c>
    </row>
    <row r="66" spans="1:1" x14ac:dyDescent="0.25">
      <c r="A66" s="14" t="s">
        <v>140</v>
      </c>
    </row>
    <row r="67" spans="1:1" x14ac:dyDescent="0.25">
      <c r="A67" s="14" t="s">
        <v>141</v>
      </c>
    </row>
    <row r="68" spans="1:1" x14ac:dyDescent="0.25">
      <c r="A68" s="14" t="s">
        <v>146</v>
      </c>
    </row>
    <row r="69" spans="1:1" x14ac:dyDescent="0.25">
      <c r="A69" s="14" t="s">
        <v>147</v>
      </c>
    </row>
    <row r="70" spans="1:1" x14ac:dyDescent="0.25">
      <c r="A70" s="14" t="s">
        <v>149</v>
      </c>
    </row>
    <row r="71" spans="1:1" x14ac:dyDescent="0.25">
      <c r="A71" s="14" t="s">
        <v>150</v>
      </c>
    </row>
    <row r="72" spans="1:1" x14ac:dyDescent="0.25">
      <c r="A72" s="14" t="s">
        <v>151</v>
      </c>
    </row>
    <row r="73" spans="1:1" x14ac:dyDescent="0.25">
      <c r="A73" s="14" t="s">
        <v>152</v>
      </c>
    </row>
    <row r="74" spans="1:1" x14ac:dyDescent="0.25">
      <c r="A74" s="14" t="s">
        <v>153</v>
      </c>
    </row>
    <row r="75" spans="1:1" x14ac:dyDescent="0.25">
      <c r="A75" s="14" t="s">
        <v>155</v>
      </c>
    </row>
    <row r="76" spans="1:1" x14ac:dyDescent="0.25">
      <c r="A76" s="14" t="s">
        <v>156</v>
      </c>
    </row>
    <row r="77" spans="1:1" x14ac:dyDescent="0.25">
      <c r="A77" s="14" t="s">
        <v>157</v>
      </c>
    </row>
    <row r="78" spans="1:1" x14ac:dyDescent="0.25">
      <c r="A78" s="14" t="s">
        <v>158</v>
      </c>
    </row>
    <row r="79" spans="1:1" x14ac:dyDescent="0.25">
      <c r="A79" s="14" t="s">
        <v>159</v>
      </c>
    </row>
    <row r="80" spans="1:1" x14ac:dyDescent="0.25">
      <c r="A80" s="14" t="s">
        <v>160</v>
      </c>
    </row>
    <row r="81" spans="1:1" x14ac:dyDescent="0.25">
      <c r="A81" s="14" t="s">
        <v>161</v>
      </c>
    </row>
    <row r="82" spans="1:1" x14ac:dyDescent="0.25">
      <c r="A82" s="14" t="s">
        <v>163</v>
      </c>
    </row>
    <row r="83" spans="1:1" x14ac:dyDescent="0.25">
      <c r="A83" s="14" t="s">
        <v>165</v>
      </c>
    </row>
    <row r="84" spans="1:1" x14ac:dyDescent="0.25">
      <c r="A84" s="14" t="s">
        <v>166</v>
      </c>
    </row>
    <row r="85" spans="1:1" x14ac:dyDescent="0.25">
      <c r="A85" s="14" t="s">
        <v>174</v>
      </c>
    </row>
    <row r="86" spans="1:1" x14ac:dyDescent="0.25">
      <c r="A86" s="14" t="s">
        <v>169</v>
      </c>
    </row>
    <row r="87" spans="1:1" x14ac:dyDescent="0.25">
      <c r="A87" s="14" t="s">
        <v>170</v>
      </c>
    </row>
    <row r="88" spans="1:1" x14ac:dyDescent="0.25">
      <c r="A88" s="14" t="s">
        <v>171</v>
      </c>
    </row>
    <row r="89" spans="1:1" x14ac:dyDescent="0.25">
      <c r="A89" s="14" t="s">
        <v>173</v>
      </c>
    </row>
    <row r="90" spans="1:1" x14ac:dyDescent="0.25">
      <c r="A90" s="14" t="s">
        <v>42</v>
      </c>
    </row>
    <row r="91" spans="1:1" x14ac:dyDescent="0.25">
      <c r="A91" s="14" t="s">
        <v>43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95"/>
  <sheetViews>
    <sheetView topLeftCell="X69" workbookViewId="0">
      <selection activeCell="A2" sqref="A2:AU95"/>
    </sheetView>
  </sheetViews>
  <sheetFormatPr defaultRowHeight="15" x14ac:dyDescent="0.25"/>
  <sheetData>
    <row r="1" spans="1:47" x14ac:dyDescent="0.25">
      <c r="A1" s="1" t="s">
        <v>0</v>
      </c>
      <c r="B1" s="1" t="s">
        <v>358</v>
      </c>
      <c r="C1" s="1" t="s">
        <v>1</v>
      </c>
      <c r="D1" s="1" t="s">
        <v>2</v>
      </c>
      <c r="E1" s="1" t="s">
        <v>198</v>
      </c>
      <c r="F1" s="1" t="s">
        <v>221</v>
      </c>
      <c r="G1" s="1" t="s">
        <v>3</v>
      </c>
      <c r="H1" s="1" t="s">
        <v>222</v>
      </c>
      <c r="I1" s="1" t="s">
        <v>223</v>
      </c>
      <c r="J1" s="1" t="s">
        <v>4</v>
      </c>
      <c r="K1" s="10" t="s">
        <v>359</v>
      </c>
      <c r="L1" s="10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19</v>
      </c>
      <c r="Z1" s="1" t="s">
        <v>357</v>
      </c>
      <c r="AA1" s="1" t="s">
        <v>18</v>
      </c>
      <c r="AB1" s="1" t="s">
        <v>20</v>
      </c>
      <c r="AC1" s="2" t="s">
        <v>22</v>
      </c>
      <c r="AD1" s="2" t="s">
        <v>23</v>
      </c>
      <c r="AE1" s="2" t="s">
        <v>21</v>
      </c>
      <c r="AF1" s="2" t="s">
        <v>24</v>
      </c>
      <c r="AG1" s="2" t="s">
        <v>25</v>
      </c>
      <c r="AH1" s="2" t="s">
        <v>26</v>
      </c>
      <c r="AI1" s="2" t="s">
        <v>27</v>
      </c>
      <c r="AJ1" s="2" t="s">
        <v>28</v>
      </c>
      <c r="AK1" s="2" t="s">
        <v>29</v>
      </c>
      <c r="AL1" s="3" t="s">
        <v>30</v>
      </c>
      <c r="AM1" s="3" t="s">
        <v>38</v>
      </c>
      <c r="AN1" s="3" t="s">
        <v>31</v>
      </c>
      <c r="AO1" s="3" t="s">
        <v>32</v>
      </c>
      <c r="AP1" s="3" t="s">
        <v>33</v>
      </c>
      <c r="AQ1" s="3" t="s">
        <v>34</v>
      </c>
      <c r="AR1" s="3" t="s">
        <v>35</v>
      </c>
      <c r="AS1" s="3" t="s">
        <v>36</v>
      </c>
      <c r="AT1" s="3" t="s">
        <v>37</v>
      </c>
      <c r="AU1" s="4" t="s">
        <v>39</v>
      </c>
    </row>
    <row r="2" spans="1:47" x14ac:dyDescent="0.25">
      <c r="A2" t="s">
        <v>666</v>
      </c>
      <c r="B2" t="s">
        <v>356</v>
      </c>
      <c r="D2">
        <v>3600</v>
      </c>
      <c r="E2" t="s">
        <v>360</v>
      </c>
      <c r="G2" t="str">
        <f t="shared" ref="G2:G65" si="0">IF(ISNUMBER(SEARCH("Prepacked",$E2)),"Inbound",IF(ISNUMBER(SEARCH("Transfer",$E2)),"Manipulation",IF(ISNUMBER(SEARCH("Storage",$E2)),"Real Estate",IF(ISNUMBER(SEARCH("Packaging Railcar",$E2)),"Manipulation",IF(ISNUMBER(SEARCH("Repack",$E2)),"Manipulation",IF(ISNUMBER(SEARCH("Packaging Upcharge",$E2)),"Manipulation","NA"))))))</f>
        <v>Manipulation</v>
      </c>
      <c r="H2" t="str">
        <f t="shared" ref="H2:H65" si="1">IF($G2="Real Estate",IF(ISNUMBER(SEARCH("Import",$E2)),"FIXED",IF(ISNUMBER(SEARCH("Railcar",$E2)),"RAILCAR",IF(ISNUMBER(SEARCH("Container",$E2)),"CTRSTORAGE","WAREHOUSE"))),"")</f>
        <v/>
      </c>
      <c r="J2" t="str">
        <f t="shared" ref="J2:J65" si="2">IF($M2="POUND","Stock",IF($M2="POUNDS/100","Stock",IF($M2="KG","Stock",IF($M2="BAG","Stock",IF($M2="OCTABIN","Stock",IF($M2="BOX","Stock",IF($M2="POUND","BIGBAG",IF($M2="NET/TON","Stock",IF($M2="DRUM","Stock",IF($M2="POUND","PALLET","Transport/Operation"))))))))))</f>
        <v>Transport/Operation</v>
      </c>
      <c r="K2" s="9" t="s">
        <v>355</v>
      </c>
      <c r="L2" s="9" t="s">
        <v>424</v>
      </c>
      <c r="M2" t="s">
        <v>324</v>
      </c>
      <c r="N2" t="s">
        <v>243</v>
      </c>
      <c r="O2" t="str">
        <f t="shared" ref="O2:O65" si="3">IF($M2="ITEM","Manual",IF($M2="LABEL","Manual",IF($M2="HOUR","Manual",IF($M2="DAY","Manual","Automatic"))))</f>
        <v>Automatic</v>
      </c>
      <c r="P2">
        <v>0</v>
      </c>
      <c r="Q2">
        <v>999999999</v>
      </c>
      <c r="R2">
        <v>3.59</v>
      </c>
      <c r="T2">
        <v>0</v>
      </c>
      <c r="U2">
        <v>0</v>
      </c>
      <c r="V2" t="s">
        <v>244</v>
      </c>
      <c r="W2" t="str">
        <f t="shared" ref="W2:W65" si="4">IF($M2="RC/PD/RPTDS","RC/PD/RPD",$M2)</f>
        <v>PALLET</v>
      </c>
      <c r="X2" t="s">
        <v>425</v>
      </c>
      <c r="Y2" t="s">
        <v>425</v>
      </c>
      <c r="Z2" t="s">
        <v>233</v>
      </c>
      <c r="AB2" t="s">
        <v>244</v>
      </c>
      <c r="AU2" t="str">
        <f t="shared" ref="AU2:AU65" si="5">IF($AT2&gt;0,"Yes","No")</f>
        <v>No</v>
      </c>
    </row>
    <row r="3" spans="1:47" x14ac:dyDescent="0.25">
      <c r="A3" t="s">
        <v>666</v>
      </c>
      <c r="B3" t="s">
        <v>356</v>
      </c>
      <c r="D3">
        <v>3600</v>
      </c>
      <c r="E3" t="s">
        <v>361</v>
      </c>
      <c r="G3" t="str">
        <f t="shared" si="0"/>
        <v>Manipulation</v>
      </c>
      <c r="H3" t="str">
        <f t="shared" si="1"/>
        <v/>
      </c>
      <c r="J3" t="str">
        <f t="shared" si="2"/>
        <v>Transport/Operation</v>
      </c>
      <c r="K3" s="9" t="s">
        <v>355</v>
      </c>
      <c r="L3" s="9" t="s">
        <v>424</v>
      </c>
      <c r="M3" t="s">
        <v>324</v>
      </c>
      <c r="N3" t="s">
        <v>243</v>
      </c>
      <c r="O3" t="str">
        <f t="shared" si="3"/>
        <v>Automatic</v>
      </c>
      <c r="P3">
        <v>0</v>
      </c>
      <c r="Q3">
        <v>999999999</v>
      </c>
      <c r="R3">
        <v>3.59</v>
      </c>
      <c r="T3">
        <v>0</v>
      </c>
      <c r="U3">
        <v>0</v>
      </c>
      <c r="V3" t="s">
        <v>244</v>
      </c>
      <c r="W3" t="str">
        <f t="shared" si="4"/>
        <v>PALLET</v>
      </c>
      <c r="X3" t="s">
        <v>425</v>
      </c>
      <c r="Y3" t="s">
        <v>425</v>
      </c>
      <c r="Z3" t="s">
        <v>233</v>
      </c>
      <c r="AB3" t="s">
        <v>244</v>
      </c>
      <c r="AU3" t="str">
        <f t="shared" si="5"/>
        <v>No</v>
      </c>
    </row>
    <row r="4" spans="1:47" x14ac:dyDescent="0.25">
      <c r="A4" t="s">
        <v>666</v>
      </c>
      <c r="B4" t="s">
        <v>356</v>
      </c>
      <c r="D4">
        <v>3640</v>
      </c>
      <c r="E4" t="s">
        <v>362</v>
      </c>
      <c r="G4" t="str">
        <f t="shared" si="0"/>
        <v>Manipulation</v>
      </c>
      <c r="H4" t="str">
        <f t="shared" si="1"/>
        <v/>
      </c>
      <c r="J4" t="str">
        <f t="shared" si="2"/>
        <v>Transport/Operation</v>
      </c>
      <c r="K4" s="9" t="s">
        <v>355</v>
      </c>
      <c r="L4" s="9" t="s">
        <v>424</v>
      </c>
      <c r="M4" t="s">
        <v>325</v>
      </c>
      <c r="N4" t="s">
        <v>243</v>
      </c>
      <c r="O4" t="str">
        <f t="shared" si="3"/>
        <v>Automatic</v>
      </c>
      <c r="P4">
        <v>0</v>
      </c>
      <c r="Q4">
        <v>42000</v>
      </c>
      <c r="R4" s="13">
        <v>102.63</v>
      </c>
      <c r="T4">
        <v>0</v>
      </c>
      <c r="U4">
        <v>0</v>
      </c>
      <c r="V4" t="s">
        <v>244</v>
      </c>
      <c r="W4" t="str">
        <f t="shared" si="4"/>
        <v>FILE</v>
      </c>
      <c r="X4" t="s">
        <v>425</v>
      </c>
      <c r="Y4" t="s">
        <v>426</v>
      </c>
      <c r="Z4" t="s">
        <v>233</v>
      </c>
      <c r="AB4" t="s">
        <v>244</v>
      </c>
      <c r="AC4">
        <v>42001</v>
      </c>
      <c r="AD4">
        <v>64000</v>
      </c>
      <c r="AG4">
        <v>0</v>
      </c>
      <c r="AH4">
        <v>0</v>
      </c>
      <c r="AI4" t="s">
        <v>425</v>
      </c>
      <c r="AJ4" t="s">
        <v>425</v>
      </c>
      <c r="AK4">
        <v>153.94999999999999</v>
      </c>
      <c r="AL4">
        <v>64001</v>
      </c>
      <c r="AM4">
        <v>999999</v>
      </c>
      <c r="AP4">
        <v>0</v>
      </c>
      <c r="AQ4">
        <v>0</v>
      </c>
      <c r="AR4" t="s">
        <v>425</v>
      </c>
      <c r="AS4" t="s">
        <v>425</v>
      </c>
      <c r="AT4">
        <v>205.27</v>
      </c>
      <c r="AU4" t="str">
        <f t="shared" si="5"/>
        <v>Yes</v>
      </c>
    </row>
    <row r="5" spans="1:47" x14ac:dyDescent="0.25">
      <c r="A5" t="s">
        <v>666</v>
      </c>
      <c r="B5" t="s">
        <v>356</v>
      </c>
      <c r="D5">
        <v>4400</v>
      </c>
      <c r="E5" t="s">
        <v>444</v>
      </c>
      <c r="G5" t="str">
        <f t="shared" si="0"/>
        <v>Manipulation</v>
      </c>
      <c r="H5" t="str">
        <f t="shared" si="1"/>
        <v/>
      </c>
      <c r="J5" t="str">
        <f t="shared" si="2"/>
        <v>Transport/Operation</v>
      </c>
      <c r="K5" s="9" t="s">
        <v>355</v>
      </c>
      <c r="L5" s="9" t="s">
        <v>424</v>
      </c>
      <c r="M5" t="s">
        <v>321</v>
      </c>
      <c r="N5" t="s">
        <v>243</v>
      </c>
      <c r="O5" t="str">
        <f t="shared" si="3"/>
        <v>Automatic</v>
      </c>
      <c r="P5">
        <v>0</v>
      </c>
      <c r="Q5">
        <v>999999999</v>
      </c>
      <c r="R5">
        <v>51.32</v>
      </c>
      <c r="T5">
        <v>0</v>
      </c>
      <c r="U5">
        <v>0</v>
      </c>
      <c r="V5" t="s">
        <v>244</v>
      </c>
      <c r="W5" t="str">
        <f t="shared" si="4"/>
        <v>RAILCAR</v>
      </c>
      <c r="X5" t="s">
        <v>425</v>
      </c>
      <c r="Y5" t="s">
        <v>425</v>
      </c>
      <c r="Z5" t="s">
        <v>233</v>
      </c>
      <c r="AB5" t="s">
        <v>244</v>
      </c>
      <c r="AG5">
        <v>0</v>
      </c>
      <c r="AH5">
        <v>0</v>
      </c>
      <c r="AP5">
        <v>0</v>
      </c>
      <c r="AQ5">
        <v>0</v>
      </c>
      <c r="AU5" t="str">
        <f t="shared" si="5"/>
        <v>No</v>
      </c>
    </row>
    <row r="6" spans="1:47" x14ac:dyDescent="0.25">
      <c r="A6" t="s">
        <v>666</v>
      </c>
      <c r="B6" t="s">
        <v>356</v>
      </c>
      <c r="D6">
        <v>3600</v>
      </c>
      <c r="E6" t="s">
        <v>363</v>
      </c>
      <c r="G6" t="str">
        <f t="shared" si="0"/>
        <v>NA</v>
      </c>
      <c r="H6" t="str">
        <f t="shared" si="1"/>
        <v/>
      </c>
      <c r="J6" t="str">
        <f t="shared" si="2"/>
        <v>Transport/Operation</v>
      </c>
      <c r="K6" s="9" t="s">
        <v>355</v>
      </c>
      <c r="L6" s="9" t="s">
        <v>424</v>
      </c>
      <c r="M6" t="s">
        <v>324</v>
      </c>
      <c r="N6" t="s">
        <v>243</v>
      </c>
      <c r="O6" t="str">
        <f t="shared" si="3"/>
        <v>Automatic</v>
      </c>
      <c r="P6">
        <v>0</v>
      </c>
      <c r="Q6">
        <v>999999999</v>
      </c>
      <c r="R6">
        <v>3.6</v>
      </c>
      <c r="T6">
        <v>0</v>
      </c>
      <c r="U6">
        <v>0</v>
      </c>
      <c r="V6" t="s">
        <v>244</v>
      </c>
      <c r="W6" t="str">
        <f t="shared" si="4"/>
        <v>PALLET</v>
      </c>
      <c r="X6" t="s">
        <v>425</v>
      </c>
      <c r="Y6" t="s">
        <v>425</v>
      </c>
      <c r="Z6" t="s">
        <v>233</v>
      </c>
      <c r="AB6" t="s">
        <v>244</v>
      </c>
      <c r="AU6" t="str">
        <f t="shared" si="5"/>
        <v>No</v>
      </c>
    </row>
    <row r="7" spans="1:47" x14ac:dyDescent="0.25">
      <c r="A7" t="s">
        <v>666</v>
      </c>
      <c r="B7" t="s">
        <v>356</v>
      </c>
      <c r="D7">
        <v>3801</v>
      </c>
      <c r="E7" t="s">
        <v>364</v>
      </c>
      <c r="G7" t="str">
        <f t="shared" si="0"/>
        <v>Manipulation</v>
      </c>
      <c r="H7" t="str">
        <f t="shared" si="1"/>
        <v/>
      </c>
      <c r="J7" t="str">
        <f t="shared" si="2"/>
        <v>Stock</v>
      </c>
      <c r="K7" s="9" t="s">
        <v>355</v>
      </c>
      <c r="L7" s="9" t="s">
        <v>424</v>
      </c>
      <c r="M7" t="s">
        <v>319</v>
      </c>
      <c r="N7" t="s">
        <v>243</v>
      </c>
      <c r="O7" t="str">
        <f t="shared" si="3"/>
        <v>Automatic</v>
      </c>
      <c r="P7">
        <v>0</v>
      </c>
      <c r="Q7">
        <v>999999999</v>
      </c>
      <c r="R7">
        <v>36.200000000000003</v>
      </c>
      <c r="T7">
        <v>0</v>
      </c>
      <c r="U7">
        <v>0</v>
      </c>
      <c r="V7" t="s">
        <v>244</v>
      </c>
      <c r="W7" t="str">
        <f t="shared" si="4"/>
        <v>NET/TON</v>
      </c>
      <c r="X7" t="s">
        <v>425</v>
      </c>
      <c r="Y7" t="s">
        <v>425</v>
      </c>
      <c r="Z7" t="s">
        <v>233</v>
      </c>
      <c r="AB7" t="s">
        <v>244</v>
      </c>
      <c r="AG7">
        <v>0</v>
      </c>
      <c r="AH7">
        <v>0</v>
      </c>
      <c r="AP7">
        <v>0</v>
      </c>
      <c r="AQ7">
        <v>0</v>
      </c>
      <c r="AU7" t="str">
        <f t="shared" si="5"/>
        <v>No</v>
      </c>
    </row>
    <row r="8" spans="1:47" x14ac:dyDescent="0.25">
      <c r="A8" t="s">
        <v>666</v>
      </c>
      <c r="B8" t="s">
        <v>356</v>
      </c>
      <c r="D8">
        <v>3801</v>
      </c>
      <c r="E8" t="s">
        <v>365</v>
      </c>
      <c r="G8" t="str">
        <f t="shared" si="0"/>
        <v>Manipulation</v>
      </c>
      <c r="H8" t="str">
        <f t="shared" si="1"/>
        <v/>
      </c>
      <c r="J8" t="str">
        <f t="shared" si="2"/>
        <v>Stock</v>
      </c>
      <c r="K8" s="9" t="s">
        <v>355</v>
      </c>
      <c r="L8" s="9" t="s">
        <v>424</v>
      </c>
      <c r="M8" t="s">
        <v>319</v>
      </c>
      <c r="N8" t="s">
        <v>243</v>
      </c>
      <c r="O8" t="str">
        <f t="shared" si="3"/>
        <v>Automatic</v>
      </c>
      <c r="P8">
        <v>0</v>
      </c>
      <c r="Q8">
        <v>999999999</v>
      </c>
      <c r="R8">
        <v>36.200000000000003</v>
      </c>
      <c r="T8">
        <v>0</v>
      </c>
      <c r="U8">
        <v>0</v>
      </c>
      <c r="V8" t="s">
        <v>244</v>
      </c>
      <c r="W8" t="str">
        <f t="shared" si="4"/>
        <v>NET/TON</v>
      </c>
      <c r="X8" t="s">
        <v>425</v>
      </c>
      <c r="Y8" t="s">
        <v>425</v>
      </c>
      <c r="Z8" t="s">
        <v>233</v>
      </c>
      <c r="AB8" t="s">
        <v>244</v>
      </c>
      <c r="AU8" t="str">
        <f t="shared" si="5"/>
        <v>No</v>
      </c>
    </row>
    <row r="9" spans="1:47" x14ac:dyDescent="0.25">
      <c r="A9" t="s">
        <v>666</v>
      </c>
      <c r="B9" t="s">
        <v>356</v>
      </c>
      <c r="D9">
        <v>3794</v>
      </c>
      <c r="E9" t="s">
        <v>366</v>
      </c>
      <c r="G9" t="str">
        <f t="shared" si="0"/>
        <v>Manipulation</v>
      </c>
      <c r="H9" t="str">
        <f t="shared" si="1"/>
        <v/>
      </c>
      <c r="J9" t="str">
        <f t="shared" si="2"/>
        <v>Stock</v>
      </c>
      <c r="K9" s="9" t="s">
        <v>355</v>
      </c>
      <c r="L9" s="9" t="s">
        <v>424</v>
      </c>
      <c r="M9" t="s">
        <v>319</v>
      </c>
      <c r="N9" t="s">
        <v>243</v>
      </c>
      <c r="O9" t="str">
        <f t="shared" si="3"/>
        <v>Automatic</v>
      </c>
      <c r="P9">
        <v>0</v>
      </c>
      <c r="Q9">
        <v>999999999</v>
      </c>
      <c r="R9">
        <v>31.67</v>
      </c>
      <c r="T9">
        <v>0</v>
      </c>
      <c r="U9">
        <v>0</v>
      </c>
      <c r="V9" t="s">
        <v>244</v>
      </c>
      <c r="W9" t="str">
        <f t="shared" si="4"/>
        <v>NET/TON</v>
      </c>
      <c r="X9" t="s">
        <v>425</v>
      </c>
      <c r="Y9" t="s">
        <v>425</v>
      </c>
      <c r="Z9" t="s">
        <v>233</v>
      </c>
      <c r="AB9" t="s">
        <v>244</v>
      </c>
      <c r="AU9" t="str">
        <f t="shared" si="5"/>
        <v>No</v>
      </c>
    </row>
    <row r="10" spans="1:47" x14ac:dyDescent="0.25">
      <c r="A10" t="s">
        <v>666</v>
      </c>
      <c r="B10" t="s">
        <v>356</v>
      </c>
      <c r="D10">
        <v>3803</v>
      </c>
      <c r="E10" t="s">
        <v>367</v>
      </c>
      <c r="G10" t="str">
        <f t="shared" si="0"/>
        <v>Manipulation</v>
      </c>
      <c r="H10" t="str">
        <f t="shared" si="1"/>
        <v/>
      </c>
      <c r="J10" t="str">
        <f t="shared" si="2"/>
        <v>Stock</v>
      </c>
      <c r="K10" s="9" t="s">
        <v>355</v>
      </c>
      <c r="L10" s="9" t="s">
        <v>424</v>
      </c>
      <c r="M10" t="s">
        <v>319</v>
      </c>
      <c r="N10" t="s">
        <v>243</v>
      </c>
      <c r="O10" t="str">
        <f t="shared" si="3"/>
        <v>Automatic</v>
      </c>
      <c r="P10">
        <v>0</v>
      </c>
      <c r="Q10">
        <v>999999999</v>
      </c>
      <c r="R10">
        <v>50.68</v>
      </c>
      <c r="T10">
        <v>0</v>
      </c>
      <c r="U10">
        <v>0</v>
      </c>
      <c r="V10" t="s">
        <v>244</v>
      </c>
      <c r="W10" t="str">
        <f t="shared" si="4"/>
        <v>NET/TON</v>
      </c>
      <c r="X10" t="s">
        <v>425</v>
      </c>
      <c r="Y10" t="s">
        <v>425</v>
      </c>
      <c r="Z10" t="s">
        <v>233</v>
      </c>
      <c r="AB10" t="s">
        <v>244</v>
      </c>
      <c r="AU10" t="str">
        <f t="shared" si="5"/>
        <v>No</v>
      </c>
    </row>
    <row r="11" spans="1:47" x14ac:dyDescent="0.25">
      <c r="A11" t="s">
        <v>666</v>
      </c>
      <c r="B11" t="s">
        <v>356</v>
      </c>
      <c r="D11">
        <v>3802</v>
      </c>
      <c r="E11" t="s">
        <v>368</v>
      </c>
      <c r="G11" t="str">
        <f t="shared" si="0"/>
        <v>Manipulation</v>
      </c>
      <c r="H11" t="str">
        <f t="shared" si="1"/>
        <v/>
      </c>
      <c r="J11" t="str">
        <f t="shared" si="2"/>
        <v>Stock</v>
      </c>
      <c r="K11" s="9" t="s">
        <v>355</v>
      </c>
      <c r="L11" s="9" t="s">
        <v>424</v>
      </c>
      <c r="M11" t="s">
        <v>319</v>
      </c>
      <c r="N11" t="s">
        <v>243</v>
      </c>
      <c r="O11" t="str">
        <f t="shared" si="3"/>
        <v>Automatic</v>
      </c>
      <c r="P11">
        <v>0</v>
      </c>
      <c r="Q11">
        <v>999999999</v>
      </c>
      <c r="R11">
        <v>36.200000000000003</v>
      </c>
      <c r="T11">
        <v>0</v>
      </c>
      <c r="U11">
        <v>0</v>
      </c>
      <c r="V11" t="s">
        <v>244</v>
      </c>
      <c r="W11" t="str">
        <f t="shared" si="4"/>
        <v>NET/TON</v>
      </c>
      <c r="X11" t="s">
        <v>425</v>
      </c>
      <c r="Y11" t="s">
        <v>425</v>
      </c>
      <c r="Z11" t="s">
        <v>233</v>
      </c>
      <c r="AB11" t="s">
        <v>244</v>
      </c>
      <c r="AU11" t="str">
        <f t="shared" si="5"/>
        <v>No</v>
      </c>
    </row>
    <row r="12" spans="1:47" x14ac:dyDescent="0.25">
      <c r="A12" t="s">
        <v>666</v>
      </c>
      <c r="B12" t="s">
        <v>356</v>
      </c>
      <c r="D12">
        <v>3801</v>
      </c>
      <c r="E12" t="s">
        <v>369</v>
      </c>
      <c r="G12" t="str">
        <f t="shared" si="0"/>
        <v>Manipulation</v>
      </c>
      <c r="H12" t="str">
        <f t="shared" si="1"/>
        <v/>
      </c>
      <c r="J12" t="str">
        <f t="shared" si="2"/>
        <v>Stock</v>
      </c>
      <c r="K12" s="9" t="s">
        <v>355</v>
      </c>
      <c r="L12" s="9" t="s">
        <v>424</v>
      </c>
      <c r="M12" t="s">
        <v>319</v>
      </c>
      <c r="N12" t="s">
        <v>243</v>
      </c>
      <c r="O12" t="str">
        <f t="shared" si="3"/>
        <v>Automatic</v>
      </c>
      <c r="P12">
        <v>0</v>
      </c>
      <c r="Q12">
        <v>999999999</v>
      </c>
      <c r="R12">
        <v>31.82</v>
      </c>
      <c r="T12">
        <v>0</v>
      </c>
      <c r="U12">
        <v>0</v>
      </c>
      <c r="V12" t="s">
        <v>244</v>
      </c>
      <c r="W12" t="str">
        <f t="shared" si="4"/>
        <v>NET/TON</v>
      </c>
      <c r="X12" t="s">
        <v>425</v>
      </c>
      <c r="Y12" t="s">
        <v>425</v>
      </c>
      <c r="Z12" t="s">
        <v>233</v>
      </c>
      <c r="AB12" t="s">
        <v>244</v>
      </c>
      <c r="AU12" t="str">
        <f t="shared" si="5"/>
        <v>No</v>
      </c>
    </row>
    <row r="13" spans="1:47" x14ac:dyDescent="0.25">
      <c r="A13" t="s">
        <v>666</v>
      </c>
      <c r="B13" t="s">
        <v>356</v>
      </c>
      <c r="D13">
        <v>3801</v>
      </c>
      <c r="E13" t="s">
        <v>370</v>
      </c>
      <c r="G13" t="str">
        <f t="shared" si="0"/>
        <v>Manipulation</v>
      </c>
      <c r="H13" t="str">
        <f t="shared" si="1"/>
        <v/>
      </c>
      <c r="J13" t="str">
        <f t="shared" si="2"/>
        <v>Transport/Operation</v>
      </c>
      <c r="K13" s="9" t="s">
        <v>355</v>
      </c>
      <c r="L13" s="9" t="s">
        <v>424</v>
      </c>
      <c r="M13" t="s">
        <v>325</v>
      </c>
      <c r="N13" t="s">
        <v>243</v>
      </c>
      <c r="O13" t="str">
        <f t="shared" si="3"/>
        <v>Automatic</v>
      </c>
      <c r="P13">
        <v>0</v>
      </c>
      <c r="Q13">
        <v>999999999</v>
      </c>
      <c r="R13">
        <v>307.89</v>
      </c>
      <c r="T13">
        <v>0</v>
      </c>
      <c r="U13">
        <v>0</v>
      </c>
      <c r="V13" t="s">
        <v>244</v>
      </c>
      <c r="W13" t="str">
        <f t="shared" si="4"/>
        <v>FILE</v>
      </c>
      <c r="X13" t="s">
        <v>425</v>
      </c>
      <c r="Y13" t="s">
        <v>425</v>
      </c>
      <c r="Z13" t="s">
        <v>233</v>
      </c>
      <c r="AB13" t="s">
        <v>244</v>
      </c>
      <c r="AG13">
        <v>0</v>
      </c>
      <c r="AH13">
        <v>0</v>
      </c>
      <c r="AP13">
        <v>0</v>
      </c>
      <c r="AQ13">
        <v>0</v>
      </c>
      <c r="AU13" t="str">
        <f t="shared" si="5"/>
        <v>No</v>
      </c>
    </row>
    <row r="14" spans="1:47" x14ac:dyDescent="0.25">
      <c r="A14" t="s">
        <v>666</v>
      </c>
      <c r="B14" t="s">
        <v>356</v>
      </c>
      <c r="D14">
        <v>3310</v>
      </c>
      <c r="E14" t="s">
        <v>445</v>
      </c>
      <c r="G14" t="str">
        <f t="shared" si="0"/>
        <v>Manipulation</v>
      </c>
      <c r="H14" t="str">
        <f t="shared" si="1"/>
        <v/>
      </c>
      <c r="J14" t="str">
        <f t="shared" si="2"/>
        <v>Stock</v>
      </c>
      <c r="K14" s="9" t="s">
        <v>355</v>
      </c>
      <c r="L14" s="9" t="s">
        <v>424</v>
      </c>
      <c r="M14" t="s">
        <v>319</v>
      </c>
      <c r="N14" t="s">
        <v>243</v>
      </c>
      <c r="O14" t="str">
        <f t="shared" si="3"/>
        <v>Automatic</v>
      </c>
      <c r="P14">
        <v>0</v>
      </c>
      <c r="Q14">
        <v>999999999</v>
      </c>
      <c r="R14">
        <v>32.119999999999997</v>
      </c>
      <c r="T14">
        <v>0</v>
      </c>
      <c r="U14">
        <v>0</v>
      </c>
      <c r="V14" t="s">
        <v>244</v>
      </c>
      <c r="W14" t="str">
        <f t="shared" si="4"/>
        <v>NET/TON</v>
      </c>
      <c r="X14" t="s">
        <v>427</v>
      </c>
      <c r="Y14" t="s">
        <v>425</v>
      </c>
      <c r="Z14" t="s">
        <v>233</v>
      </c>
      <c r="AA14" t="s">
        <v>428</v>
      </c>
      <c r="AB14" t="s">
        <v>244</v>
      </c>
      <c r="AU14" t="str">
        <f t="shared" si="5"/>
        <v>No</v>
      </c>
    </row>
    <row r="15" spans="1:47" x14ac:dyDescent="0.25">
      <c r="A15" t="s">
        <v>666</v>
      </c>
      <c r="B15" t="s">
        <v>356</v>
      </c>
      <c r="D15">
        <v>3310</v>
      </c>
      <c r="E15" t="s">
        <v>446</v>
      </c>
      <c r="G15" t="str">
        <f t="shared" si="0"/>
        <v>Manipulation</v>
      </c>
      <c r="H15" t="str">
        <f t="shared" si="1"/>
        <v/>
      </c>
      <c r="J15" t="str">
        <f t="shared" si="2"/>
        <v>Stock</v>
      </c>
      <c r="K15" s="9" t="s">
        <v>355</v>
      </c>
      <c r="L15" s="9" t="s">
        <v>424</v>
      </c>
      <c r="M15" t="s">
        <v>319</v>
      </c>
      <c r="N15" t="s">
        <v>243</v>
      </c>
      <c r="O15" t="str">
        <f t="shared" si="3"/>
        <v>Automatic</v>
      </c>
      <c r="P15">
        <v>0</v>
      </c>
      <c r="Q15">
        <v>999999999</v>
      </c>
      <c r="R15">
        <v>32.32</v>
      </c>
      <c r="T15">
        <v>0</v>
      </c>
      <c r="U15">
        <v>0</v>
      </c>
      <c r="V15" t="s">
        <v>244</v>
      </c>
      <c r="W15" t="str">
        <f t="shared" si="4"/>
        <v>NET/TON</v>
      </c>
      <c r="X15" t="s">
        <v>427</v>
      </c>
      <c r="Y15" t="s">
        <v>425</v>
      </c>
      <c r="Z15" t="s">
        <v>233</v>
      </c>
      <c r="AA15" t="s">
        <v>429</v>
      </c>
      <c r="AB15" t="s">
        <v>244</v>
      </c>
      <c r="AU15" t="str">
        <f t="shared" si="5"/>
        <v>No</v>
      </c>
    </row>
    <row r="16" spans="1:47" x14ac:dyDescent="0.25">
      <c r="A16" t="s">
        <v>666</v>
      </c>
      <c r="B16" t="s">
        <v>356</v>
      </c>
      <c r="D16">
        <v>3310</v>
      </c>
      <c r="E16" t="s">
        <v>447</v>
      </c>
      <c r="G16" t="str">
        <f t="shared" si="0"/>
        <v>Manipulation</v>
      </c>
      <c r="H16" t="str">
        <f t="shared" si="1"/>
        <v/>
      </c>
      <c r="J16" t="str">
        <f t="shared" si="2"/>
        <v>Stock</v>
      </c>
      <c r="K16" s="9" t="s">
        <v>355</v>
      </c>
      <c r="L16" s="9" t="s">
        <v>424</v>
      </c>
      <c r="M16" t="s">
        <v>319</v>
      </c>
      <c r="N16" t="s">
        <v>243</v>
      </c>
      <c r="O16" t="str">
        <f t="shared" si="3"/>
        <v>Automatic</v>
      </c>
      <c r="P16">
        <v>0</v>
      </c>
      <c r="Q16">
        <v>999999999</v>
      </c>
      <c r="R16">
        <v>32.32</v>
      </c>
      <c r="T16">
        <v>0</v>
      </c>
      <c r="U16">
        <v>0</v>
      </c>
      <c r="V16" t="s">
        <v>244</v>
      </c>
      <c r="W16" t="str">
        <f t="shared" si="4"/>
        <v>NET/TON</v>
      </c>
      <c r="X16" t="s">
        <v>425</v>
      </c>
      <c r="Y16" t="s">
        <v>425</v>
      </c>
      <c r="Z16" t="s">
        <v>233</v>
      </c>
      <c r="AA16" t="s">
        <v>430</v>
      </c>
      <c r="AB16" t="s">
        <v>244</v>
      </c>
      <c r="AU16" t="str">
        <f t="shared" si="5"/>
        <v>No</v>
      </c>
    </row>
    <row r="17" spans="1:47" x14ac:dyDescent="0.25">
      <c r="A17" t="s">
        <v>666</v>
      </c>
      <c r="B17" t="s">
        <v>356</v>
      </c>
      <c r="D17">
        <v>3310</v>
      </c>
      <c r="E17" t="s">
        <v>371</v>
      </c>
      <c r="G17" t="str">
        <f t="shared" si="0"/>
        <v>NA</v>
      </c>
      <c r="H17" t="str">
        <f t="shared" si="1"/>
        <v/>
      </c>
      <c r="J17" t="str">
        <f t="shared" si="2"/>
        <v>Stock</v>
      </c>
      <c r="K17" s="9" t="s">
        <v>355</v>
      </c>
      <c r="L17" s="9" t="s">
        <v>424</v>
      </c>
      <c r="M17" t="s">
        <v>319</v>
      </c>
      <c r="N17" t="s">
        <v>243</v>
      </c>
      <c r="O17" t="str">
        <f t="shared" si="3"/>
        <v>Automatic</v>
      </c>
      <c r="P17">
        <v>0</v>
      </c>
      <c r="Q17">
        <v>999999999</v>
      </c>
      <c r="R17">
        <v>34.29</v>
      </c>
      <c r="T17">
        <v>0</v>
      </c>
      <c r="U17">
        <v>0</v>
      </c>
      <c r="V17" t="s">
        <v>244</v>
      </c>
      <c r="W17" t="str">
        <f t="shared" si="4"/>
        <v>NET/TON</v>
      </c>
      <c r="X17" t="s">
        <v>427</v>
      </c>
      <c r="Y17" t="s">
        <v>425</v>
      </c>
      <c r="Z17" t="s">
        <v>233</v>
      </c>
      <c r="AB17" t="s">
        <v>244</v>
      </c>
      <c r="AU17" t="str">
        <f t="shared" si="5"/>
        <v>No</v>
      </c>
    </row>
    <row r="18" spans="1:47" x14ac:dyDescent="0.25">
      <c r="A18" t="s">
        <v>666</v>
      </c>
      <c r="B18" t="s">
        <v>356</v>
      </c>
      <c r="D18">
        <v>3770</v>
      </c>
      <c r="E18" t="s">
        <v>448</v>
      </c>
      <c r="G18" t="str">
        <f t="shared" si="0"/>
        <v>Manipulation</v>
      </c>
      <c r="H18" t="str">
        <f t="shared" si="1"/>
        <v/>
      </c>
      <c r="J18" t="str">
        <f t="shared" si="2"/>
        <v>Stock</v>
      </c>
      <c r="K18" s="9" t="s">
        <v>355</v>
      </c>
      <c r="L18" s="9" t="s">
        <v>424</v>
      </c>
      <c r="M18" t="s">
        <v>319</v>
      </c>
      <c r="N18" t="s">
        <v>243</v>
      </c>
      <c r="O18" t="str">
        <f t="shared" si="3"/>
        <v>Automatic</v>
      </c>
      <c r="P18">
        <v>0</v>
      </c>
      <c r="Q18">
        <v>999999999</v>
      </c>
      <c r="R18">
        <v>23.98</v>
      </c>
      <c r="T18">
        <v>0</v>
      </c>
      <c r="U18">
        <v>0</v>
      </c>
      <c r="V18" t="s">
        <v>244</v>
      </c>
      <c r="W18" t="str">
        <f t="shared" si="4"/>
        <v>NET/TON</v>
      </c>
      <c r="X18" t="s">
        <v>425</v>
      </c>
      <c r="Y18" t="s">
        <v>425</v>
      </c>
      <c r="Z18" t="s">
        <v>233</v>
      </c>
      <c r="AB18" t="s">
        <v>244</v>
      </c>
      <c r="AU18" t="str">
        <f t="shared" si="5"/>
        <v>No</v>
      </c>
    </row>
    <row r="19" spans="1:47" x14ac:dyDescent="0.25">
      <c r="A19" t="s">
        <v>666</v>
      </c>
      <c r="B19" t="s">
        <v>356</v>
      </c>
      <c r="D19">
        <v>3775</v>
      </c>
      <c r="E19" t="s">
        <v>449</v>
      </c>
      <c r="G19" t="str">
        <f t="shared" si="0"/>
        <v>Manipulation</v>
      </c>
      <c r="H19" t="str">
        <f t="shared" si="1"/>
        <v/>
      </c>
      <c r="J19" t="str">
        <f t="shared" si="2"/>
        <v>Stock</v>
      </c>
      <c r="K19" s="9" t="s">
        <v>355</v>
      </c>
      <c r="L19" s="9" t="s">
        <v>424</v>
      </c>
      <c r="M19" t="s">
        <v>319</v>
      </c>
      <c r="N19" t="s">
        <v>243</v>
      </c>
      <c r="O19" t="str">
        <f t="shared" si="3"/>
        <v>Automatic</v>
      </c>
      <c r="P19">
        <v>0</v>
      </c>
      <c r="Q19">
        <v>999999999</v>
      </c>
      <c r="R19">
        <v>32.119999999999997</v>
      </c>
      <c r="T19">
        <v>0</v>
      </c>
      <c r="U19">
        <v>0</v>
      </c>
      <c r="V19" t="s">
        <v>244</v>
      </c>
      <c r="W19" t="str">
        <f t="shared" si="4"/>
        <v>NET/TON</v>
      </c>
      <c r="X19" t="s">
        <v>425</v>
      </c>
      <c r="Y19" t="s">
        <v>425</v>
      </c>
      <c r="Z19" t="s">
        <v>233</v>
      </c>
      <c r="AB19" t="s">
        <v>244</v>
      </c>
      <c r="AU19" t="str">
        <f t="shared" si="5"/>
        <v>No</v>
      </c>
    </row>
    <row r="20" spans="1:47" x14ac:dyDescent="0.25">
      <c r="A20" t="s">
        <v>666</v>
      </c>
      <c r="B20" t="s">
        <v>356</v>
      </c>
      <c r="D20">
        <v>3765</v>
      </c>
      <c r="E20" t="s">
        <v>450</v>
      </c>
      <c r="G20" t="str">
        <f t="shared" si="0"/>
        <v>Manipulation</v>
      </c>
      <c r="H20" t="str">
        <f t="shared" si="1"/>
        <v/>
      </c>
      <c r="J20" t="str">
        <f t="shared" si="2"/>
        <v>Stock</v>
      </c>
      <c r="K20" s="9" t="s">
        <v>355</v>
      </c>
      <c r="L20" s="9" t="s">
        <v>424</v>
      </c>
      <c r="M20" t="s">
        <v>319</v>
      </c>
      <c r="N20" t="s">
        <v>243</v>
      </c>
      <c r="O20" t="str">
        <f t="shared" si="3"/>
        <v>Automatic</v>
      </c>
      <c r="P20">
        <v>0</v>
      </c>
      <c r="Q20">
        <v>999999999</v>
      </c>
      <c r="R20">
        <v>38.090000000000003</v>
      </c>
      <c r="T20">
        <v>0</v>
      </c>
      <c r="U20">
        <v>0</v>
      </c>
      <c r="V20" t="s">
        <v>244</v>
      </c>
      <c r="W20" t="str">
        <f t="shared" si="4"/>
        <v>NET/TON</v>
      </c>
      <c r="X20" t="s">
        <v>425</v>
      </c>
      <c r="Y20" t="s">
        <v>425</v>
      </c>
      <c r="Z20" t="s">
        <v>233</v>
      </c>
      <c r="AB20" t="s">
        <v>244</v>
      </c>
      <c r="AU20" t="str">
        <f t="shared" si="5"/>
        <v>No</v>
      </c>
    </row>
    <row r="21" spans="1:47" x14ac:dyDescent="0.25">
      <c r="A21" t="s">
        <v>666</v>
      </c>
      <c r="B21" t="s">
        <v>356</v>
      </c>
      <c r="D21">
        <v>3775</v>
      </c>
      <c r="E21" t="s">
        <v>451</v>
      </c>
      <c r="G21" t="str">
        <f t="shared" si="0"/>
        <v>Manipulation</v>
      </c>
      <c r="H21" t="str">
        <f t="shared" si="1"/>
        <v/>
      </c>
      <c r="J21" t="str">
        <f t="shared" si="2"/>
        <v>Stock</v>
      </c>
      <c r="K21" s="9" t="s">
        <v>355</v>
      </c>
      <c r="L21" s="9" t="s">
        <v>424</v>
      </c>
      <c r="M21" t="s">
        <v>319</v>
      </c>
      <c r="N21" t="s">
        <v>243</v>
      </c>
      <c r="O21" t="str">
        <f t="shared" si="3"/>
        <v>Automatic</v>
      </c>
      <c r="P21">
        <v>0</v>
      </c>
      <c r="Q21">
        <v>999999999</v>
      </c>
      <c r="R21">
        <v>35.520000000000003</v>
      </c>
      <c r="T21">
        <v>45000</v>
      </c>
      <c r="U21">
        <v>0</v>
      </c>
      <c r="V21" t="s">
        <v>244</v>
      </c>
      <c r="W21" t="str">
        <f t="shared" si="4"/>
        <v>NET/TON</v>
      </c>
      <c r="X21" t="s">
        <v>425</v>
      </c>
      <c r="Y21" t="s">
        <v>425</v>
      </c>
      <c r="Z21" t="s">
        <v>233</v>
      </c>
      <c r="AB21" t="s">
        <v>244</v>
      </c>
      <c r="AU21" t="str">
        <f t="shared" si="5"/>
        <v>No</v>
      </c>
    </row>
    <row r="22" spans="1:47" x14ac:dyDescent="0.25">
      <c r="A22" t="s">
        <v>666</v>
      </c>
      <c r="B22" t="s">
        <v>356</v>
      </c>
      <c r="D22">
        <v>3803</v>
      </c>
      <c r="E22" t="s">
        <v>372</v>
      </c>
      <c r="G22" t="str">
        <f t="shared" si="0"/>
        <v>Manipulation</v>
      </c>
      <c r="H22" t="str">
        <f t="shared" si="1"/>
        <v/>
      </c>
      <c r="J22" t="str">
        <f t="shared" si="2"/>
        <v>Stock</v>
      </c>
      <c r="K22" s="9" t="s">
        <v>355</v>
      </c>
      <c r="L22" s="9" t="s">
        <v>424</v>
      </c>
      <c r="M22" t="s">
        <v>319</v>
      </c>
      <c r="N22" t="s">
        <v>243</v>
      </c>
      <c r="O22" t="str">
        <f t="shared" si="3"/>
        <v>Automatic</v>
      </c>
      <c r="P22">
        <v>0</v>
      </c>
      <c r="Q22">
        <v>999999999</v>
      </c>
      <c r="R22">
        <v>47.52</v>
      </c>
      <c r="T22">
        <v>0</v>
      </c>
      <c r="U22">
        <v>0</v>
      </c>
      <c r="V22" t="s">
        <v>244</v>
      </c>
      <c r="W22" t="str">
        <f t="shared" si="4"/>
        <v>NET/TON</v>
      </c>
      <c r="X22" t="s">
        <v>425</v>
      </c>
      <c r="Y22" t="s">
        <v>425</v>
      </c>
      <c r="Z22" t="s">
        <v>233</v>
      </c>
      <c r="AB22" t="s">
        <v>244</v>
      </c>
      <c r="AG22">
        <v>0</v>
      </c>
      <c r="AH22">
        <v>0</v>
      </c>
      <c r="AP22">
        <v>0</v>
      </c>
      <c r="AQ22">
        <v>0</v>
      </c>
      <c r="AU22" t="str">
        <f t="shared" si="5"/>
        <v>No</v>
      </c>
    </row>
    <row r="23" spans="1:47" x14ac:dyDescent="0.25">
      <c r="A23" t="s">
        <v>666</v>
      </c>
      <c r="B23" t="s">
        <v>356</v>
      </c>
      <c r="D23">
        <v>3040</v>
      </c>
      <c r="E23" t="s">
        <v>373</v>
      </c>
      <c r="G23" t="str">
        <f t="shared" si="0"/>
        <v>NA</v>
      </c>
      <c r="H23" t="str">
        <f t="shared" si="1"/>
        <v/>
      </c>
      <c r="J23" t="str">
        <f t="shared" si="2"/>
        <v>Stock</v>
      </c>
      <c r="K23" s="9" t="s">
        <v>355</v>
      </c>
      <c r="L23" s="9" t="s">
        <v>424</v>
      </c>
      <c r="M23" t="s">
        <v>322</v>
      </c>
      <c r="N23" t="s">
        <v>243</v>
      </c>
      <c r="O23" t="str">
        <f t="shared" si="3"/>
        <v>Automatic</v>
      </c>
      <c r="P23">
        <v>0</v>
      </c>
      <c r="Q23">
        <v>999999999</v>
      </c>
      <c r="R23">
        <v>0.03</v>
      </c>
      <c r="T23">
        <v>0</v>
      </c>
      <c r="U23">
        <v>0</v>
      </c>
      <c r="V23" t="s">
        <v>244</v>
      </c>
      <c r="W23" t="str">
        <f t="shared" si="4"/>
        <v>POUND</v>
      </c>
      <c r="X23" t="s">
        <v>425</v>
      </c>
      <c r="Y23" t="s">
        <v>425</v>
      </c>
      <c r="Z23" t="s">
        <v>233</v>
      </c>
      <c r="AB23" t="s">
        <v>244</v>
      </c>
      <c r="AU23" t="str">
        <f t="shared" si="5"/>
        <v>No</v>
      </c>
    </row>
    <row r="24" spans="1:47" x14ac:dyDescent="0.25">
      <c r="A24" t="s">
        <v>666</v>
      </c>
      <c r="B24" t="s">
        <v>356</v>
      </c>
      <c r="D24">
        <v>3600</v>
      </c>
      <c r="E24" t="s">
        <v>452</v>
      </c>
      <c r="G24" t="str">
        <f t="shared" si="0"/>
        <v>NA</v>
      </c>
      <c r="H24" t="str">
        <f t="shared" si="1"/>
        <v/>
      </c>
      <c r="J24" t="str">
        <f t="shared" si="2"/>
        <v>Transport/Operation</v>
      </c>
      <c r="K24" s="9" t="s">
        <v>355</v>
      </c>
      <c r="L24" s="9" t="s">
        <v>424</v>
      </c>
      <c r="M24" t="s">
        <v>325</v>
      </c>
      <c r="N24" t="s">
        <v>243</v>
      </c>
      <c r="O24" t="str">
        <f t="shared" si="3"/>
        <v>Automatic</v>
      </c>
      <c r="P24">
        <v>0</v>
      </c>
      <c r="Q24">
        <v>999999999</v>
      </c>
      <c r="R24">
        <v>27.34</v>
      </c>
      <c r="T24">
        <v>0</v>
      </c>
      <c r="U24">
        <v>0</v>
      </c>
      <c r="V24" t="s">
        <v>244</v>
      </c>
      <c r="W24" t="str">
        <f t="shared" si="4"/>
        <v>FILE</v>
      </c>
      <c r="X24" t="s">
        <v>425</v>
      </c>
      <c r="Y24" t="s">
        <v>425</v>
      </c>
      <c r="Z24" t="s">
        <v>233</v>
      </c>
      <c r="AB24" t="s">
        <v>244</v>
      </c>
      <c r="AU24" t="str">
        <f t="shared" si="5"/>
        <v>No</v>
      </c>
    </row>
    <row r="25" spans="1:47" x14ac:dyDescent="0.25">
      <c r="A25" t="s">
        <v>666</v>
      </c>
      <c r="B25" t="s">
        <v>356</v>
      </c>
      <c r="D25">
        <v>1300</v>
      </c>
      <c r="E25" t="s">
        <v>462</v>
      </c>
      <c r="G25" t="str">
        <f t="shared" si="0"/>
        <v>Real Estate</v>
      </c>
      <c r="H25" t="str">
        <f t="shared" si="1"/>
        <v>CTRSTORAGE</v>
      </c>
      <c r="J25" t="str">
        <f t="shared" si="2"/>
        <v>Transport/Operation</v>
      </c>
      <c r="K25" s="9" t="s">
        <v>355</v>
      </c>
      <c r="L25" s="9" t="s">
        <v>424</v>
      </c>
      <c r="M25" t="s">
        <v>310</v>
      </c>
      <c r="N25" t="s">
        <v>243</v>
      </c>
      <c r="O25" t="str">
        <f t="shared" si="3"/>
        <v>Automatic</v>
      </c>
      <c r="P25">
        <v>0</v>
      </c>
      <c r="Q25">
        <v>999999999</v>
      </c>
      <c r="R25">
        <v>10.26</v>
      </c>
      <c r="T25">
        <v>0</v>
      </c>
      <c r="U25">
        <v>0</v>
      </c>
      <c r="V25" t="s">
        <v>244</v>
      </c>
      <c r="W25" t="str">
        <f t="shared" si="4"/>
        <v>CT/PD/RPD</v>
      </c>
      <c r="X25" t="s">
        <v>425</v>
      </c>
      <c r="Y25" t="s">
        <v>425</v>
      </c>
      <c r="Z25" t="s">
        <v>233</v>
      </c>
      <c r="AB25" t="s">
        <v>301</v>
      </c>
      <c r="AU25" t="str">
        <f t="shared" si="5"/>
        <v>No</v>
      </c>
    </row>
    <row r="26" spans="1:47" x14ac:dyDescent="0.25">
      <c r="A26" t="s">
        <v>666</v>
      </c>
      <c r="B26" t="s">
        <v>356</v>
      </c>
      <c r="D26">
        <v>1300</v>
      </c>
      <c r="E26" t="s">
        <v>463</v>
      </c>
      <c r="G26" t="str">
        <f t="shared" si="0"/>
        <v>Real Estate</v>
      </c>
      <c r="H26" t="str">
        <f t="shared" si="1"/>
        <v>FIXED</v>
      </c>
      <c r="J26" t="str">
        <f t="shared" si="2"/>
        <v>Transport/Operation</v>
      </c>
      <c r="K26" s="9" t="s">
        <v>355</v>
      </c>
      <c r="L26" s="9" t="s">
        <v>424</v>
      </c>
      <c r="M26" t="s">
        <v>438</v>
      </c>
      <c r="N26" t="s">
        <v>243</v>
      </c>
      <c r="O26" t="str">
        <f t="shared" si="3"/>
        <v>Automatic</v>
      </c>
      <c r="P26">
        <v>0</v>
      </c>
      <c r="Q26">
        <v>999999999</v>
      </c>
      <c r="R26">
        <v>10.26</v>
      </c>
      <c r="T26">
        <v>0</v>
      </c>
      <c r="U26">
        <v>0</v>
      </c>
      <c r="V26" t="s">
        <v>244</v>
      </c>
      <c r="W26" t="str">
        <f t="shared" si="4"/>
        <v>FX/PP/CTR/RPC</v>
      </c>
      <c r="X26" t="s">
        <v>425</v>
      </c>
      <c r="Y26" t="s">
        <v>425</v>
      </c>
      <c r="Z26" t="s">
        <v>233</v>
      </c>
      <c r="AB26" t="s">
        <v>244</v>
      </c>
      <c r="AU26" t="str">
        <f t="shared" si="5"/>
        <v>No</v>
      </c>
    </row>
    <row r="27" spans="1:47" x14ac:dyDescent="0.25">
      <c r="A27" t="s">
        <v>666</v>
      </c>
      <c r="B27" t="s">
        <v>356</v>
      </c>
      <c r="D27">
        <v>5100</v>
      </c>
      <c r="E27" t="s">
        <v>374</v>
      </c>
      <c r="G27" t="str">
        <f t="shared" si="0"/>
        <v>NA</v>
      </c>
      <c r="H27" t="str">
        <f t="shared" si="1"/>
        <v/>
      </c>
      <c r="J27" t="str">
        <f t="shared" si="2"/>
        <v>Transport/Operation</v>
      </c>
      <c r="K27" s="9" t="s">
        <v>355</v>
      </c>
      <c r="L27" s="9" t="s">
        <v>424</v>
      </c>
      <c r="M27" t="s">
        <v>328</v>
      </c>
      <c r="N27" t="s">
        <v>243</v>
      </c>
      <c r="O27" t="str">
        <f t="shared" si="3"/>
        <v>Automatic</v>
      </c>
      <c r="P27">
        <v>0</v>
      </c>
      <c r="Q27">
        <v>999999999</v>
      </c>
      <c r="R27">
        <v>210.39</v>
      </c>
      <c r="T27">
        <v>0</v>
      </c>
      <c r="U27">
        <v>0</v>
      </c>
      <c r="V27" t="s">
        <v>244</v>
      </c>
      <c r="W27" t="str">
        <f t="shared" si="4"/>
        <v>CONTAINER</v>
      </c>
      <c r="X27" t="s">
        <v>425</v>
      </c>
      <c r="Y27" t="s">
        <v>425</v>
      </c>
      <c r="Z27" t="s">
        <v>233</v>
      </c>
      <c r="AB27" t="s">
        <v>244</v>
      </c>
      <c r="AU27" t="str">
        <f t="shared" si="5"/>
        <v>No</v>
      </c>
    </row>
    <row r="28" spans="1:47" x14ac:dyDescent="0.25">
      <c r="A28" t="s">
        <v>666</v>
      </c>
      <c r="B28" t="s">
        <v>356</v>
      </c>
      <c r="D28">
        <v>5100</v>
      </c>
      <c r="E28" t="s">
        <v>375</v>
      </c>
      <c r="G28" t="str">
        <f t="shared" si="0"/>
        <v>NA</v>
      </c>
      <c r="H28" t="str">
        <f t="shared" si="1"/>
        <v/>
      </c>
      <c r="J28" t="str">
        <f t="shared" si="2"/>
        <v>Transport/Operation</v>
      </c>
      <c r="K28" s="9" t="s">
        <v>355</v>
      </c>
      <c r="L28" s="9" t="s">
        <v>424</v>
      </c>
      <c r="M28" t="s">
        <v>325</v>
      </c>
      <c r="N28" t="s">
        <v>243</v>
      </c>
      <c r="O28" t="str">
        <f t="shared" si="3"/>
        <v>Automatic</v>
      </c>
      <c r="P28">
        <v>0</v>
      </c>
      <c r="Q28">
        <v>999999999</v>
      </c>
      <c r="R28">
        <v>0</v>
      </c>
      <c r="T28">
        <v>0</v>
      </c>
      <c r="U28">
        <v>0</v>
      </c>
      <c r="V28" t="s">
        <v>301</v>
      </c>
      <c r="W28" t="str">
        <f t="shared" si="4"/>
        <v>FILE</v>
      </c>
      <c r="X28" t="s">
        <v>425</v>
      </c>
      <c r="Y28" t="s">
        <v>425</v>
      </c>
      <c r="Z28" t="s">
        <v>233</v>
      </c>
      <c r="AB28" t="s">
        <v>244</v>
      </c>
      <c r="AU28" t="str">
        <f t="shared" si="5"/>
        <v>No</v>
      </c>
    </row>
    <row r="29" spans="1:47" x14ac:dyDescent="0.25">
      <c r="A29" t="s">
        <v>666</v>
      </c>
      <c r="B29" t="s">
        <v>356</v>
      </c>
      <c r="D29">
        <v>5100</v>
      </c>
      <c r="E29" t="s">
        <v>376</v>
      </c>
      <c r="G29" t="str">
        <f t="shared" si="0"/>
        <v>NA</v>
      </c>
      <c r="H29" t="str">
        <f t="shared" si="1"/>
        <v/>
      </c>
      <c r="J29" t="str">
        <f t="shared" si="2"/>
        <v>Transport/Operation</v>
      </c>
      <c r="K29" s="9" t="s">
        <v>355</v>
      </c>
      <c r="L29" s="9" t="s">
        <v>424</v>
      </c>
      <c r="M29" t="s">
        <v>327</v>
      </c>
      <c r="N29" t="s">
        <v>243</v>
      </c>
      <c r="O29" t="str">
        <f t="shared" si="3"/>
        <v>Manual</v>
      </c>
      <c r="P29">
        <v>0</v>
      </c>
      <c r="Q29">
        <v>3</v>
      </c>
      <c r="R29">
        <v>25.66</v>
      </c>
      <c r="T29">
        <v>0</v>
      </c>
      <c r="U29">
        <v>0</v>
      </c>
      <c r="V29" t="s">
        <v>244</v>
      </c>
      <c r="W29" t="str">
        <f t="shared" si="4"/>
        <v>DAY</v>
      </c>
      <c r="X29" t="s">
        <v>427</v>
      </c>
      <c r="Y29" t="s">
        <v>426</v>
      </c>
      <c r="Z29" t="s">
        <v>233</v>
      </c>
      <c r="AB29" t="s">
        <v>244</v>
      </c>
      <c r="AC29">
        <v>4</v>
      </c>
      <c r="AD29">
        <v>4</v>
      </c>
      <c r="AI29" t="s">
        <v>425</v>
      </c>
      <c r="AJ29" t="s">
        <v>426</v>
      </c>
      <c r="AK29">
        <v>0</v>
      </c>
      <c r="AL29">
        <v>5</v>
      </c>
      <c r="AM29">
        <v>99999999</v>
      </c>
      <c r="AR29" t="s">
        <v>425</v>
      </c>
      <c r="AS29" t="s">
        <v>425</v>
      </c>
      <c r="AT29">
        <v>35.92</v>
      </c>
      <c r="AU29" t="str">
        <f t="shared" si="5"/>
        <v>Yes</v>
      </c>
    </row>
    <row r="30" spans="1:47" x14ac:dyDescent="0.25">
      <c r="A30" t="s">
        <v>666</v>
      </c>
      <c r="B30" t="s">
        <v>356</v>
      </c>
      <c r="D30">
        <v>5100</v>
      </c>
      <c r="E30" t="s">
        <v>376</v>
      </c>
      <c r="G30" t="str">
        <f t="shared" si="0"/>
        <v>NA</v>
      </c>
      <c r="H30" t="str">
        <f t="shared" si="1"/>
        <v/>
      </c>
      <c r="J30" t="str">
        <f t="shared" si="2"/>
        <v>Transport/Operation</v>
      </c>
      <c r="K30" s="9" t="s">
        <v>355</v>
      </c>
      <c r="L30" s="9" t="s">
        <v>424</v>
      </c>
      <c r="M30" t="s">
        <v>327</v>
      </c>
      <c r="N30" t="s">
        <v>243</v>
      </c>
      <c r="O30" t="str">
        <f t="shared" si="3"/>
        <v>Manual</v>
      </c>
      <c r="P30">
        <v>0</v>
      </c>
      <c r="Q30">
        <v>3</v>
      </c>
      <c r="R30">
        <v>35.92</v>
      </c>
      <c r="T30">
        <v>0</v>
      </c>
      <c r="U30">
        <v>0</v>
      </c>
      <c r="V30" t="s">
        <v>244</v>
      </c>
      <c r="W30" t="str">
        <f t="shared" si="4"/>
        <v>DAY</v>
      </c>
      <c r="X30" t="s">
        <v>427</v>
      </c>
      <c r="Y30" t="s">
        <v>426</v>
      </c>
      <c r="Z30" t="s">
        <v>233</v>
      </c>
      <c r="AB30" t="s">
        <v>244</v>
      </c>
      <c r="AC30">
        <v>4</v>
      </c>
      <c r="AD30">
        <v>4</v>
      </c>
      <c r="AI30" t="s">
        <v>425</v>
      </c>
      <c r="AJ30" t="s">
        <v>426</v>
      </c>
      <c r="AK30">
        <v>0</v>
      </c>
      <c r="AL30">
        <v>5</v>
      </c>
      <c r="AM30">
        <v>99999999</v>
      </c>
      <c r="AR30" t="s">
        <v>425</v>
      </c>
      <c r="AS30" t="s">
        <v>425</v>
      </c>
      <c r="AT30">
        <v>35.92</v>
      </c>
      <c r="AU30" t="str">
        <f t="shared" si="5"/>
        <v>Yes</v>
      </c>
    </row>
    <row r="31" spans="1:47" x14ac:dyDescent="0.25">
      <c r="A31" t="s">
        <v>666</v>
      </c>
      <c r="B31" t="s">
        <v>356</v>
      </c>
      <c r="D31">
        <v>5100</v>
      </c>
      <c r="E31" t="s">
        <v>377</v>
      </c>
      <c r="G31" t="str">
        <f t="shared" si="0"/>
        <v>NA</v>
      </c>
      <c r="H31" t="str">
        <f t="shared" si="1"/>
        <v/>
      </c>
      <c r="J31" t="str">
        <f t="shared" si="2"/>
        <v>Transport/Operation</v>
      </c>
      <c r="K31" s="9" t="s">
        <v>355</v>
      </c>
      <c r="L31" s="9" t="s">
        <v>424</v>
      </c>
      <c r="M31" t="s">
        <v>327</v>
      </c>
      <c r="N31" t="s">
        <v>243</v>
      </c>
      <c r="O31" t="str">
        <f t="shared" si="3"/>
        <v>Manual</v>
      </c>
      <c r="P31">
        <v>0</v>
      </c>
      <c r="Q31">
        <v>999999999</v>
      </c>
      <c r="R31">
        <v>43.1</v>
      </c>
      <c r="T31">
        <v>0</v>
      </c>
      <c r="U31">
        <v>0</v>
      </c>
      <c r="V31" t="s">
        <v>244</v>
      </c>
      <c r="W31" t="str">
        <f t="shared" si="4"/>
        <v>DAY</v>
      </c>
      <c r="X31" t="s">
        <v>425</v>
      </c>
      <c r="Y31" t="s">
        <v>425</v>
      </c>
      <c r="Z31" t="s">
        <v>233</v>
      </c>
      <c r="AB31" t="s">
        <v>244</v>
      </c>
      <c r="AU31" t="str">
        <f t="shared" si="5"/>
        <v>No</v>
      </c>
    </row>
    <row r="32" spans="1:47" x14ac:dyDescent="0.25">
      <c r="A32" t="s">
        <v>666</v>
      </c>
      <c r="B32" t="s">
        <v>356</v>
      </c>
      <c r="D32">
        <v>1200</v>
      </c>
      <c r="E32" t="s">
        <v>378</v>
      </c>
      <c r="G32" t="str">
        <f t="shared" si="0"/>
        <v>Real Estate</v>
      </c>
      <c r="H32" t="str">
        <f t="shared" si="1"/>
        <v>WAREHOUSE</v>
      </c>
      <c r="J32" t="str">
        <f t="shared" si="2"/>
        <v>Transport/Operation</v>
      </c>
      <c r="K32" s="9" t="s">
        <v>355</v>
      </c>
      <c r="L32" s="9" t="s">
        <v>424</v>
      </c>
      <c r="M32" t="s">
        <v>311</v>
      </c>
      <c r="N32" t="s">
        <v>243</v>
      </c>
      <c r="O32" t="str">
        <f t="shared" si="3"/>
        <v>Automatic</v>
      </c>
      <c r="P32">
        <v>0</v>
      </c>
      <c r="Q32">
        <v>3</v>
      </c>
      <c r="R32">
        <v>0</v>
      </c>
      <c r="T32">
        <v>0</v>
      </c>
      <c r="U32">
        <v>0</v>
      </c>
      <c r="V32" t="s">
        <v>301</v>
      </c>
      <c r="W32" t="str">
        <f t="shared" si="4"/>
        <v>WH/PP/PTD/RPP</v>
      </c>
      <c r="X32" t="s">
        <v>426</v>
      </c>
      <c r="Y32" t="s">
        <v>426</v>
      </c>
      <c r="Z32" t="s">
        <v>233</v>
      </c>
      <c r="AB32" t="s">
        <v>301</v>
      </c>
      <c r="AC32">
        <v>4</v>
      </c>
      <c r="AD32">
        <v>9999999</v>
      </c>
      <c r="AI32" t="s">
        <v>425</v>
      </c>
      <c r="AJ32" t="s">
        <v>425</v>
      </c>
      <c r="AK32">
        <v>5.13</v>
      </c>
      <c r="AU32" t="str">
        <f t="shared" si="5"/>
        <v>No</v>
      </c>
    </row>
    <row r="33" spans="1:47" x14ac:dyDescent="0.25">
      <c r="A33" t="s">
        <v>666</v>
      </c>
      <c r="B33" t="s">
        <v>356</v>
      </c>
      <c r="D33">
        <v>1200</v>
      </c>
      <c r="E33" t="s">
        <v>339</v>
      </c>
      <c r="G33" t="str">
        <f t="shared" si="0"/>
        <v>Real Estate</v>
      </c>
      <c r="H33" t="str">
        <f t="shared" si="1"/>
        <v>WAREHOUSE</v>
      </c>
      <c r="J33" t="str">
        <f t="shared" si="2"/>
        <v>Transport/Operation</v>
      </c>
      <c r="K33" s="9" t="s">
        <v>355</v>
      </c>
      <c r="L33" s="9" t="s">
        <v>424</v>
      </c>
      <c r="M33" t="s">
        <v>311</v>
      </c>
      <c r="N33" t="s">
        <v>243</v>
      </c>
      <c r="O33" t="str">
        <f t="shared" si="3"/>
        <v>Automatic</v>
      </c>
      <c r="P33">
        <v>0</v>
      </c>
      <c r="Q33">
        <v>999999999</v>
      </c>
      <c r="R33">
        <v>5.95</v>
      </c>
      <c r="T33">
        <v>0</v>
      </c>
      <c r="U33">
        <v>0</v>
      </c>
      <c r="V33" t="s">
        <v>244</v>
      </c>
      <c r="W33" t="str">
        <f t="shared" si="4"/>
        <v>WH/PP/PTD/RPP</v>
      </c>
      <c r="X33" t="s">
        <v>425</v>
      </c>
      <c r="Y33" t="s">
        <v>425</v>
      </c>
      <c r="Z33" t="s">
        <v>233</v>
      </c>
      <c r="AB33" t="s">
        <v>301</v>
      </c>
      <c r="AU33" t="str">
        <f t="shared" si="5"/>
        <v>No</v>
      </c>
    </row>
    <row r="34" spans="1:47" x14ac:dyDescent="0.25">
      <c r="A34" t="s">
        <v>666</v>
      </c>
      <c r="B34" t="s">
        <v>356</v>
      </c>
      <c r="D34">
        <v>1200</v>
      </c>
      <c r="E34" t="s">
        <v>379</v>
      </c>
      <c r="G34" t="str">
        <f t="shared" si="0"/>
        <v>Real Estate</v>
      </c>
      <c r="H34" t="str">
        <f t="shared" si="1"/>
        <v>WAREHOUSE</v>
      </c>
      <c r="J34" t="str">
        <f t="shared" si="2"/>
        <v>Transport/Operation</v>
      </c>
      <c r="K34" s="9" t="s">
        <v>355</v>
      </c>
      <c r="L34" s="9" t="s">
        <v>424</v>
      </c>
      <c r="M34" t="s">
        <v>316</v>
      </c>
      <c r="N34" t="s">
        <v>243</v>
      </c>
      <c r="O34" t="str">
        <f t="shared" si="3"/>
        <v>Automatic</v>
      </c>
      <c r="P34">
        <v>0</v>
      </c>
      <c r="Q34">
        <v>999999999</v>
      </c>
      <c r="R34">
        <v>4.46</v>
      </c>
      <c r="T34">
        <v>0</v>
      </c>
      <c r="U34">
        <v>0</v>
      </c>
      <c r="V34" t="s">
        <v>244</v>
      </c>
      <c r="W34" t="str">
        <f t="shared" si="4"/>
        <v>WH/PP/WTD/RPW/TON</v>
      </c>
      <c r="X34" t="s">
        <v>425</v>
      </c>
      <c r="Y34" t="s">
        <v>425</v>
      </c>
      <c r="Z34" t="s">
        <v>233</v>
      </c>
      <c r="AA34" t="s">
        <v>431</v>
      </c>
      <c r="AB34" t="s">
        <v>301</v>
      </c>
      <c r="AU34" t="str">
        <f t="shared" si="5"/>
        <v>No</v>
      </c>
    </row>
    <row r="35" spans="1:47" x14ac:dyDescent="0.25">
      <c r="A35" t="s">
        <v>666</v>
      </c>
      <c r="B35" t="s">
        <v>356</v>
      </c>
      <c r="D35">
        <v>1200</v>
      </c>
      <c r="E35" t="s">
        <v>380</v>
      </c>
      <c r="G35" t="str">
        <f t="shared" si="0"/>
        <v>Real Estate</v>
      </c>
      <c r="H35" t="str">
        <f t="shared" si="1"/>
        <v>WAREHOUSE</v>
      </c>
      <c r="J35" t="str">
        <f t="shared" si="2"/>
        <v>Transport/Operation</v>
      </c>
      <c r="K35" s="9" t="s">
        <v>355</v>
      </c>
      <c r="L35" s="9" t="s">
        <v>424</v>
      </c>
      <c r="M35" t="s">
        <v>316</v>
      </c>
      <c r="N35" t="s">
        <v>243</v>
      </c>
      <c r="O35" t="str">
        <f t="shared" si="3"/>
        <v>Automatic</v>
      </c>
      <c r="P35">
        <v>0</v>
      </c>
      <c r="Q35">
        <v>999999999</v>
      </c>
      <c r="R35">
        <v>3.08</v>
      </c>
      <c r="T35">
        <v>0</v>
      </c>
      <c r="U35">
        <v>0</v>
      </c>
      <c r="V35" t="s">
        <v>244</v>
      </c>
      <c r="W35" t="str">
        <f t="shared" si="4"/>
        <v>WH/PP/WTD/RPW/TON</v>
      </c>
      <c r="X35" t="s">
        <v>425</v>
      </c>
      <c r="Y35" t="s">
        <v>425</v>
      </c>
      <c r="Z35" t="s">
        <v>233</v>
      </c>
      <c r="AA35" t="s">
        <v>432</v>
      </c>
      <c r="AB35" t="s">
        <v>301</v>
      </c>
      <c r="AU35" t="str">
        <f t="shared" si="5"/>
        <v>No</v>
      </c>
    </row>
    <row r="36" spans="1:47" x14ac:dyDescent="0.25">
      <c r="A36" t="s">
        <v>666</v>
      </c>
      <c r="B36" t="s">
        <v>356</v>
      </c>
      <c r="D36">
        <v>1200</v>
      </c>
      <c r="E36" t="s">
        <v>378</v>
      </c>
      <c r="G36" t="str">
        <f t="shared" si="0"/>
        <v>Real Estate</v>
      </c>
      <c r="H36" t="str">
        <f t="shared" si="1"/>
        <v>WAREHOUSE</v>
      </c>
      <c r="J36" t="str">
        <f t="shared" si="2"/>
        <v>Transport/Operation</v>
      </c>
      <c r="K36" s="9" t="s">
        <v>355</v>
      </c>
      <c r="L36" s="9" t="s">
        <v>424</v>
      </c>
      <c r="M36" t="s">
        <v>311</v>
      </c>
      <c r="N36" t="s">
        <v>243</v>
      </c>
      <c r="O36" t="str">
        <f t="shared" si="3"/>
        <v>Automatic</v>
      </c>
      <c r="P36">
        <v>0</v>
      </c>
      <c r="Q36">
        <v>999999999</v>
      </c>
      <c r="R36">
        <v>6.16</v>
      </c>
      <c r="T36">
        <v>0</v>
      </c>
      <c r="U36">
        <v>0</v>
      </c>
      <c r="V36" t="s">
        <v>244</v>
      </c>
      <c r="W36" t="str">
        <f t="shared" si="4"/>
        <v>WH/PP/PTD/RPP</v>
      </c>
      <c r="X36" t="s">
        <v>425</v>
      </c>
      <c r="Y36" t="s">
        <v>425</v>
      </c>
      <c r="Z36" t="s">
        <v>233</v>
      </c>
      <c r="AA36" t="s">
        <v>433</v>
      </c>
      <c r="AB36" t="s">
        <v>301</v>
      </c>
      <c r="AU36" t="str">
        <f t="shared" si="5"/>
        <v>No</v>
      </c>
    </row>
    <row r="37" spans="1:47" x14ac:dyDescent="0.25">
      <c r="A37" t="s">
        <v>666</v>
      </c>
      <c r="B37" t="s">
        <v>356</v>
      </c>
      <c r="D37">
        <v>1400</v>
      </c>
      <c r="E37" t="s">
        <v>453</v>
      </c>
      <c r="G37" t="str">
        <f t="shared" si="0"/>
        <v>Real Estate</v>
      </c>
      <c r="H37" t="str">
        <f t="shared" si="1"/>
        <v>RAILCAR</v>
      </c>
      <c r="J37" t="str">
        <f t="shared" si="2"/>
        <v>Transport/Operation</v>
      </c>
      <c r="K37" s="9" t="s">
        <v>355</v>
      </c>
      <c r="L37" s="9" t="s">
        <v>424</v>
      </c>
      <c r="M37" t="s">
        <v>309</v>
      </c>
      <c r="N37" t="s">
        <v>243</v>
      </c>
      <c r="O37" t="str">
        <f t="shared" si="3"/>
        <v>Automatic</v>
      </c>
      <c r="P37">
        <v>0</v>
      </c>
      <c r="Q37">
        <v>999999999</v>
      </c>
      <c r="R37">
        <v>15.39</v>
      </c>
      <c r="T37">
        <v>0</v>
      </c>
      <c r="U37">
        <v>0</v>
      </c>
      <c r="V37" t="s">
        <v>244</v>
      </c>
      <c r="W37" t="str">
        <f t="shared" si="4"/>
        <v>RC/PD/RPD</v>
      </c>
      <c r="X37" t="s">
        <v>425</v>
      </c>
      <c r="Y37" t="s">
        <v>425</v>
      </c>
      <c r="Z37" t="s">
        <v>233</v>
      </c>
      <c r="AB37" t="s">
        <v>301</v>
      </c>
      <c r="AU37" t="str">
        <f t="shared" si="5"/>
        <v>No</v>
      </c>
    </row>
    <row r="38" spans="1:47" x14ac:dyDescent="0.25">
      <c r="A38" t="s">
        <v>666</v>
      </c>
      <c r="B38" t="s">
        <v>356</v>
      </c>
      <c r="D38">
        <v>3640</v>
      </c>
      <c r="E38" t="s">
        <v>381</v>
      </c>
      <c r="G38" t="str">
        <f t="shared" si="0"/>
        <v>NA</v>
      </c>
      <c r="H38" t="str">
        <f t="shared" si="1"/>
        <v/>
      </c>
      <c r="J38" t="str">
        <f t="shared" si="2"/>
        <v>Transport/Operation</v>
      </c>
      <c r="K38" s="9" t="s">
        <v>355</v>
      </c>
      <c r="L38" s="9" t="s">
        <v>424</v>
      </c>
      <c r="M38" t="s">
        <v>317</v>
      </c>
      <c r="N38" t="s">
        <v>243</v>
      </c>
      <c r="O38" t="str">
        <f t="shared" si="3"/>
        <v>Manual</v>
      </c>
      <c r="P38">
        <v>0</v>
      </c>
      <c r="Q38">
        <v>999999999</v>
      </c>
      <c r="R38">
        <v>26.05</v>
      </c>
      <c r="T38">
        <v>0</v>
      </c>
      <c r="U38">
        <v>0</v>
      </c>
      <c r="V38" t="s">
        <v>244</v>
      </c>
      <c r="W38" t="str">
        <f t="shared" si="4"/>
        <v>HOUR</v>
      </c>
      <c r="X38" t="s">
        <v>425</v>
      </c>
      <c r="Y38" t="s">
        <v>425</v>
      </c>
      <c r="Z38" t="s">
        <v>233</v>
      </c>
      <c r="AB38" t="s">
        <v>244</v>
      </c>
      <c r="AU38" t="str">
        <f t="shared" si="5"/>
        <v>No</v>
      </c>
    </row>
    <row r="39" spans="1:47" x14ac:dyDescent="0.25">
      <c r="A39" t="s">
        <v>666</v>
      </c>
      <c r="B39" t="s">
        <v>356</v>
      </c>
      <c r="D39">
        <v>3640</v>
      </c>
      <c r="E39" t="s">
        <v>382</v>
      </c>
      <c r="G39" t="str">
        <f t="shared" si="0"/>
        <v>NA</v>
      </c>
      <c r="H39" t="str">
        <f t="shared" si="1"/>
        <v/>
      </c>
      <c r="J39" t="str">
        <f t="shared" si="2"/>
        <v>Transport/Operation</v>
      </c>
      <c r="K39" s="9" t="s">
        <v>355</v>
      </c>
      <c r="L39" s="9" t="s">
        <v>424</v>
      </c>
      <c r="M39" t="s">
        <v>317</v>
      </c>
      <c r="N39" t="s">
        <v>243</v>
      </c>
      <c r="O39" t="str">
        <f t="shared" si="3"/>
        <v>Manual</v>
      </c>
      <c r="P39">
        <v>0</v>
      </c>
      <c r="Q39">
        <v>999999999</v>
      </c>
      <c r="R39">
        <v>39.07</v>
      </c>
      <c r="T39">
        <v>0</v>
      </c>
      <c r="U39">
        <v>0</v>
      </c>
      <c r="V39" t="s">
        <v>244</v>
      </c>
      <c r="W39" t="str">
        <f t="shared" si="4"/>
        <v>HOUR</v>
      </c>
      <c r="X39" t="s">
        <v>425</v>
      </c>
      <c r="Y39" t="s">
        <v>425</v>
      </c>
      <c r="Z39" t="s">
        <v>233</v>
      </c>
      <c r="AB39" t="s">
        <v>244</v>
      </c>
      <c r="AU39" t="str">
        <f t="shared" si="5"/>
        <v>No</v>
      </c>
    </row>
    <row r="40" spans="1:47" x14ac:dyDescent="0.25">
      <c r="A40" t="s">
        <v>666</v>
      </c>
      <c r="B40" t="s">
        <v>356</v>
      </c>
      <c r="D40">
        <v>3640</v>
      </c>
      <c r="E40" t="s">
        <v>383</v>
      </c>
      <c r="G40" t="str">
        <f t="shared" si="0"/>
        <v>NA</v>
      </c>
      <c r="H40" t="str">
        <f t="shared" si="1"/>
        <v/>
      </c>
      <c r="J40" t="str">
        <f t="shared" si="2"/>
        <v>Transport/Operation</v>
      </c>
      <c r="K40" s="9" t="s">
        <v>355</v>
      </c>
      <c r="L40" s="9" t="s">
        <v>424</v>
      </c>
      <c r="M40" t="s">
        <v>317</v>
      </c>
      <c r="N40" t="s">
        <v>243</v>
      </c>
      <c r="O40" t="str">
        <f t="shared" si="3"/>
        <v>Manual</v>
      </c>
      <c r="P40">
        <v>0</v>
      </c>
      <c r="Q40">
        <v>999999999</v>
      </c>
      <c r="R40">
        <v>39.07</v>
      </c>
      <c r="T40">
        <v>0</v>
      </c>
      <c r="U40">
        <v>0</v>
      </c>
      <c r="V40" t="s">
        <v>244</v>
      </c>
      <c r="W40" t="str">
        <f t="shared" si="4"/>
        <v>HOUR</v>
      </c>
      <c r="X40" t="s">
        <v>425</v>
      </c>
      <c r="Y40" t="s">
        <v>425</v>
      </c>
      <c r="Z40" t="s">
        <v>233</v>
      </c>
      <c r="AA40" t="s">
        <v>466</v>
      </c>
      <c r="AB40" t="s">
        <v>244</v>
      </c>
      <c r="AU40" t="str">
        <f t="shared" si="5"/>
        <v>No</v>
      </c>
    </row>
    <row r="41" spans="1:47" x14ac:dyDescent="0.25">
      <c r="A41" t="s">
        <v>666</v>
      </c>
      <c r="B41" t="s">
        <v>356</v>
      </c>
      <c r="D41">
        <v>3640</v>
      </c>
      <c r="E41" t="s">
        <v>457</v>
      </c>
      <c r="G41" t="str">
        <f t="shared" si="0"/>
        <v>NA</v>
      </c>
      <c r="H41" t="str">
        <f t="shared" si="1"/>
        <v/>
      </c>
      <c r="J41" t="str">
        <f t="shared" si="2"/>
        <v>Transport/Operation</v>
      </c>
      <c r="K41" s="9" t="s">
        <v>355</v>
      </c>
      <c r="L41" s="9" t="s">
        <v>424</v>
      </c>
      <c r="M41" t="s">
        <v>317</v>
      </c>
      <c r="N41" t="s">
        <v>243</v>
      </c>
      <c r="O41" t="str">
        <f t="shared" si="3"/>
        <v>Manual</v>
      </c>
      <c r="P41">
        <v>0</v>
      </c>
      <c r="Q41">
        <v>999999999</v>
      </c>
      <c r="R41">
        <v>39.07</v>
      </c>
      <c r="T41">
        <v>0</v>
      </c>
      <c r="U41">
        <v>0</v>
      </c>
      <c r="V41" t="s">
        <v>244</v>
      </c>
      <c r="W41" t="str">
        <f t="shared" si="4"/>
        <v>HOUR</v>
      </c>
      <c r="X41" t="s">
        <v>425</v>
      </c>
      <c r="Y41" t="s">
        <v>425</v>
      </c>
      <c r="Z41" t="s">
        <v>233</v>
      </c>
      <c r="AA41" t="s">
        <v>467</v>
      </c>
      <c r="AB41" t="s">
        <v>244</v>
      </c>
      <c r="AU41" t="str">
        <f t="shared" si="5"/>
        <v>No</v>
      </c>
    </row>
    <row r="42" spans="1:47" x14ac:dyDescent="0.25">
      <c r="A42" t="s">
        <v>666</v>
      </c>
      <c r="B42" t="s">
        <v>356</v>
      </c>
      <c r="D42">
        <v>3640</v>
      </c>
      <c r="E42" t="s">
        <v>384</v>
      </c>
      <c r="G42" t="str">
        <f t="shared" si="0"/>
        <v>NA</v>
      </c>
      <c r="H42" t="str">
        <f t="shared" si="1"/>
        <v/>
      </c>
      <c r="J42" t="str">
        <f t="shared" si="2"/>
        <v>Transport/Operation</v>
      </c>
      <c r="K42" s="9" t="s">
        <v>355</v>
      </c>
      <c r="L42" s="9" t="s">
        <v>424</v>
      </c>
      <c r="M42" t="s">
        <v>317</v>
      </c>
      <c r="N42" t="s">
        <v>243</v>
      </c>
      <c r="O42" t="str">
        <f t="shared" si="3"/>
        <v>Manual</v>
      </c>
      <c r="P42">
        <v>0</v>
      </c>
      <c r="Q42">
        <v>999999999</v>
      </c>
      <c r="R42">
        <v>35.06</v>
      </c>
      <c r="T42">
        <v>0</v>
      </c>
      <c r="U42">
        <v>0</v>
      </c>
      <c r="V42" t="s">
        <v>244</v>
      </c>
      <c r="W42" t="str">
        <f t="shared" si="4"/>
        <v>HOUR</v>
      </c>
      <c r="X42" t="s">
        <v>425</v>
      </c>
      <c r="Y42" t="s">
        <v>425</v>
      </c>
      <c r="Z42" t="s">
        <v>233</v>
      </c>
      <c r="AB42" t="s">
        <v>244</v>
      </c>
      <c r="AU42" t="str">
        <f t="shared" si="5"/>
        <v>No</v>
      </c>
    </row>
    <row r="43" spans="1:47" x14ac:dyDescent="0.25">
      <c r="A43" t="s">
        <v>666</v>
      </c>
      <c r="B43" t="s">
        <v>356</v>
      </c>
      <c r="D43">
        <v>3640</v>
      </c>
      <c r="E43" t="s">
        <v>385</v>
      </c>
      <c r="G43" t="str">
        <f t="shared" si="0"/>
        <v>NA</v>
      </c>
      <c r="H43" t="str">
        <f t="shared" si="1"/>
        <v/>
      </c>
      <c r="J43" t="str">
        <f t="shared" si="2"/>
        <v>Transport/Operation</v>
      </c>
      <c r="K43" s="9" t="s">
        <v>355</v>
      </c>
      <c r="L43" s="9" t="s">
        <v>424</v>
      </c>
      <c r="M43" t="s">
        <v>317</v>
      </c>
      <c r="N43" t="s">
        <v>243</v>
      </c>
      <c r="O43" t="str">
        <f t="shared" si="3"/>
        <v>Manual</v>
      </c>
      <c r="P43">
        <v>0</v>
      </c>
      <c r="Q43">
        <v>999999999</v>
      </c>
      <c r="R43">
        <v>52.59</v>
      </c>
      <c r="T43">
        <v>0</v>
      </c>
      <c r="U43">
        <v>0</v>
      </c>
      <c r="V43" t="s">
        <v>244</v>
      </c>
      <c r="W43" t="str">
        <f t="shared" si="4"/>
        <v>HOUR</v>
      </c>
      <c r="X43" t="s">
        <v>425</v>
      </c>
      <c r="Y43" t="s">
        <v>425</v>
      </c>
      <c r="Z43" t="s">
        <v>233</v>
      </c>
      <c r="AB43" t="s">
        <v>244</v>
      </c>
      <c r="AU43" t="str">
        <f t="shared" si="5"/>
        <v>No</v>
      </c>
    </row>
    <row r="44" spans="1:47" x14ac:dyDescent="0.25">
      <c r="A44" t="s">
        <v>666</v>
      </c>
      <c r="B44" t="s">
        <v>356</v>
      </c>
      <c r="D44">
        <v>3640</v>
      </c>
      <c r="E44" t="s">
        <v>386</v>
      </c>
      <c r="G44" t="str">
        <f t="shared" si="0"/>
        <v>NA</v>
      </c>
      <c r="H44" t="str">
        <f t="shared" si="1"/>
        <v/>
      </c>
      <c r="J44" t="str">
        <f t="shared" si="2"/>
        <v>Transport/Operation</v>
      </c>
      <c r="K44" s="9" t="s">
        <v>355</v>
      </c>
      <c r="L44" s="9" t="s">
        <v>424</v>
      </c>
      <c r="M44" t="s">
        <v>317</v>
      </c>
      <c r="N44" t="s">
        <v>243</v>
      </c>
      <c r="O44" t="str">
        <f t="shared" si="3"/>
        <v>Manual</v>
      </c>
      <c r="P44">
        <v>0</v>
      </c>
      <c r="Q44">
        <v>999999999</v>
      </c>
      <c r="R44">
        <v>52.59</v>
      </c>
      <c r="T44">
        <v>0</v>
      </c>
      <c r="U44">
        <v>0</v>
      </c>
      <c r="V44" t="s">
        <v>244</v>
      </c>
      <c r="W44" t="str">
        <f t="shared" si="4"/>
        <v>HOUR</v>
      </c>
      <c r="X44" t="s">
        <v>425</v>
      </c>
      <c r="Y44" t="s">
        <v>425</v>
      </c>
      <c r="Z44" t="s">
        <v>233</v>
      </c>
      <c r="AA44" t="s">
        <v>466</v>
      </c>
      <c r="AB44" t="s">
        <v>244</v>
      </c>
      <c r="AU44" t="str">
        <f t="shared" si="5"/>
        <v>No</v>
      </c>
    </row>
    <row r="45" spans="1:47" x14ac:dyDescent="0.25">
      <c r="A45" t="s">
        <v>666</v>
      </c>
      <c r="B45" t="s">
        <v>356</v>
      </c>
      <c r="D45">
        <v>3640</v>
      </c>
      <c r="E45" t="s">
        <v>458</v>
      </c>
      <c r="G45" t="str">
        <f t="shared" si="0"/>
        <v>NA</v>
      </c>
      <c r="H45" t="str">
        <f t="shared" si="1"/>
        <v/>
      </c>
      <c r="J45" t="str">
        <f t="shared" si="2"/>
        <v>Transport/Operation</v>
      </c>
      <c r="K45" s="9" t="s">
        <v>355</v>
      </c>
      <c r="L45" s="9" t="s">
        <v>424</v>
      </c>
      <c r="M45" t="s">
        <v>317</v>
      </c>
      <c r="N45" t="s">
        <v>243</v>
      </c>
      <c r="O45" t="str">
        <f t="shared" si="3"/>
        <v>Manual</v>
      </c>
      <c r="P45">
        <v>0</v>
      </c>
      <c r="Q45">
        <v>999999999</v>
      </c>
      <c r="R45">
        <v>52.59</v>
      </c>
      <c r="T45">
        <v>0</v>
      </c>
      <c r="U45">
        <v>0</v>
      </c>
      <c r="V45" t="s">
        <v>244</v>
      </c>
      <c r="W45" t="str">
        <f t="shared" si="4"/>
        <v>HOUR</v>
      </c>
      <c r="X45" t="s">
        <v>425</v>
      </c>
      <c r="Y45" t="s">
        <v>425</v>
      </c>
      <c r="Z45" t="s">
        <v>233</v>
      </c>
      <c r="AA45" t="s">
        <v>467</v>
      </c>
      <c r="AB45" t="s">
        <v>244</v>
      </c>
      <c r="AU45" t="str">
        <f t="shared" si="5"/>
        <v>No</v>
      </c>
    </row>
    <row r="46" spans="1:47" x14ac:dyDescent="0.25">
      <c r="A46" t="s">
        <v>666</v>
      </c>
      <c r="B46" t="s">
        <v>356</v>
      </c>
      <c r="D46">
        <v>3640</v>
      </c>
      <c r="E46" t="s">
        <v>387</v>
      </c>
      <c r="G46" t="str">
        <f t="shared" si="0"/>
        <v>NA</v>
      </c>
      <c r="H46" t="str">
        <f t="shared" si="1"/>
        <v/>
      </c>
      <c r="J46" t="str">
        <f t="shared" si="2"/>
        <v>Transport/Operation</v>
      </c>
      <c r="K46" s="9" t="s">
        <v>355</v>
      </c>
      <c r="L46" s="9" t="s">
        <v>424</v>
      </c>
      <c r="M46" t="s">
        <v>317</v>
      </c>
      <c r="N46" t="s">
        <v>243</v>
      </c>
      <c r="O46" t="str">
        <f t="shared" si="3"/>
        <v>Manual</v>
      </c>
      <c r="P46">
        <v>0</v>
      </c>
      <c r="Q46">
        <v>999999999</v>
      </c>
      <c r="R46">
        <v>26.05</v>
      </c>
      <c r="T46">
        <v>0</v>
      </c>
      <c r="U46">
        <v>0</v>
      </c>
      <c r="V46" t="s">
        <v>244</v>
      </c>
      <c r="W46" t="str">
        <f t="shared" si="4"/>
        <v>HOUR</v>
      </c>
      <c r="X46" t="s">
        <v>425</v>
      </c>
      <c r="Y46" t="s">
        <v>425</v>
      </c>
      <c r="Z46" t="s">
        <v>233</v>
      </c>
      <c r="AB46" t="s">
        <v>244</v>
      </c>
      <c r="AU46" t="str">
        <f t="shared" si="5"/>
        <v>No</v>
      </c>
    </row>
    <row r="47" spans="1:47" x14ac:dyDescent="0.25">
      <c r="A47" t="s">
        <v>666</v>
      </c>
      <c r="B47" t="s">
        <v>356</v>
      </c>
      <c r="D47">
        <v>3640</v>
      </c>
      <c r="E47" t="s">
        <v>388</v>
      </c>
      <c r="G47" t="str">
        <f t="shared" si="0"/>
        <v>NA</v>
      </c>
      <c r="H47" t="str">
        <f t="shared" si="1"/>
        <v/>
      </c>
      <c r="J47" t="str">
        <f t="shared" si="2"/>
        <v>Transport/Operation</v>
      </c>
      <c r="K47" s="9" t="s">
        <v>355</v>
      </c>
      <c r="L47" s="9" t="s">
        <v>424</v>
      </c>
      <c r="M47" t="s">
        <v>317</v>
      </c>
      <c r="N47" t="s">
        <v>243</v>
      </c>
      <c r="O47" t="str">
        <f t="shared" si="3"/>
        <v>Manual</v>
      </c>
      <c r="P47">
        <v>0</v>
      </c>
      <c r="Q47">
        <v>999999999</v>
      </c>
      <c r="R47">
        <v>39.07</v>
      </c>
      <c r="T47">
        <v>0</v>
      </c>
      <c r="U47">
        <v>0</v>
      </c>
      <c r="V47" t="s">
        <v>244</v>
      </c>
      <c r="W47" t="str">
        <f t="shared" si="4"/>
        <v>HOUR</v>
      </c>
      <c r="X47" t="s">
        <v>425</v>
      </c>
      <c r="Y47" t="s">
        <v>425</v>
      </c>
      <c r="Z47" t="s">
        <v>233</v>
      </c>
      <c r="AB47" t="s">
        <v>244</v>
      </c>
      <c r="AU47" t="str">
        <f t="shared" si="5"/>
        <v>No</v>
      </c>
    </row>
    <row r="48" spans="1:47" x14ac:dyDescent="0.25">
      <c r="A48" t="s">
        <v>666</v>
      </c>
      <c r="B48" t="s">
        <v>356</v>
      </c>
      <c r="D48">
        <v>3640</v>
      </c>
      <c r="E48" t="s">
        <v>389</v>
      </c>
      <c r="G48" t="str">
        <f t="shared" si="0"/>
        <v>NA</v>
      </c>
      <c r="H48" t="str">
        <f t="shared" si="1"/>
        <v/>
      </c>
      <c r="J48" t="str">
        <f t="shared" si="2"/>
        <v>Transport/Operation</v>
      </c>
      <c r="K48" s="9" t="s">
        <v>355</v>
      </c>
      <c r="L48" s="9" t="s">
        <v>424</v>
      </c>
      <c r="M48" t="s">
        <v>317</v>
      </c>
      <c r="N48" t="s">
        <v>243</v>
      </c>
      <c r="O48" t="str">
        <f t="shared" si="3"/>
        <v>Manual</v>
      </c>
      <c r="P48">
        <v>0</v>
      </c>
      <c r="Q48">
        <v>999999999</v>
      </c>
      <c r="R48">
        <v>39.07</v>
      </c>
      <c r="T48">
        <v>0</v>
      </c>
      <c r="U48">
        <v>0</v>
      </c>
      <c r="V48" t="s">
        <v>244</v>
      </c>
      <c r="W48" t="str">
        <f t="shared" si="4"/>
        <v>HOUR</v>
      </c>
      <c r="X48" t="s">
        <v>425</v>
      </c>
      <c r="Y48" t="s">
        <v>425</v>
      </c>
      <c r="Z48" t="s">
        <v>233</v>
      </c>
      <c r="AA48" t="s">
        <v>466</v>
      </c>
      <c r="AB48" t="s">
        <v>244</v>
      </c>
      <c r="AU48" t="str">
        <f t="shared" si="5"/>
        <v>No</v>
      </c>
    </row>
    <row r="49" spans="1:47" x14ac:dyDescent="0.25">
      <c r="A49" t="s">
        <v>666</v>
      </c>
      <c r="B49" t="s">
        <v>356</v>
      </c>
      <c r="D49">
        <v>3640</v>
      </c>
      <c r="E49" t="s">
        <v>459</v>
      </c>
      <c r="G49" t="str">
        <f t="shared" si="0"/>
        <v>NA</v>
      </c>
      <c r="H49" t="str">
        <f t="shared" si="1"/>
        <v/>
      </c>
      <c r="J49" t="str">
        <f t="shared" si="2"/>
        <v>Transport/Operation</v>
      </c>
      <c r="K49" s="9" t="s">
        <v>355</v>
      </c>
      <c r="L49" s="9" t="s">
        <v>424</v>
      </c>
      <c r="M49" t="s">
        <v>317</v>
      </c>
      <c r="N49" t="s">
        <v>243</v>
      </c>
      <c r="O49" t="str">
        <f t="shared" si="3"/>
        <v>Manual</v>
      </c>
      <c r="P49">
        <v>0</v>
      </c>
      <c r="Q49">
        <v>999999999</v>
      </c>
      <c r="R49">
        <v>39.07</v>
      </c>
      <c r="T49">
        <v>0</v>
      </c>
      <c r="U49">
        <v>0</v>
      </c>
      <c r="V49" t="s">
        <v>244</v>
      </c>
      <c r="W49" t="str">
        <f t="shared" si="4"/>
        <v>HOUR</v>
      </c>
      <c r="X49" t="s">
        <v>425</v>
      </c>
      <c r="Y49" t="s">
        <v>425</v>
      </c>
      <c r="Z49" t="s">
        <v>233</v>
      </c>
      <c r="AA49" t="s">
        <v>467</v>
      </c>
      <c r="AB49" t="s">
        <v>244</v>
      </c>
      <c r="AU49" t="str">
        <f t="shared" si="5"/>
        <v>No</v>
      </c>
    </row>
    <row r="50" spans="1:47" x14ac:dyDescent="0.25">
      <c r="A50" t="s">
        <v>666</v>
      </c>
      <c r="B50" t="s">
        <v>356</v>
      </c>
      <c r="D50">
        <v>3640</v>
      </c>
      <c r="E50" t="s">
        <v>390</v>
      </c>
      <c r="G50" t="str">
        <f t="shared" si="0"/>
        <v>NA</v>
      </c>
      <c r="H50" t="str">
        <f t="shared" si="1"/>
        <v/>
      </c>
      <c r="J50" t="str">
        <f t="shared" si="2"/>
        <v>Transport/Operation</v>
      </c>
      <c r="K50" s="9" t="s">
        <v>355</v>
      </c>
      <c r="L50" s="9" t="s">
        <v>424</v>
      </c>
      <c r="M50" t="s">
        <v>317</v>
      </c>
      <c r="N50" t="s">
        <v>243</v>
      </c>
      <c r="O50" t="str">
        <f t="shared" si="3"/>
        <v>Manual</v>
      </c>
      <c r="P50">
        <v>0</v>
      </c>
      <c r="Q50">
        <v>999999999</v>
      </c>
      <c r="R50">
        <v>26.05</v>
      </c>
      <c r="T50">
        <v>0</v>
      </c>
      <c r="U50">
        <v>0</v>
      </c>
      <c r="V50" t="s">
        <v>244</v>
      </c>
      <c r="W50" t="str">
        <f t="shared" si="4"/>
        <v>HOUR</v>
      </c>
      <c r="X50" t="s">
        <v>425</v>
      </c>
      <c r="Y50" t="s">
        <v>425</v>
      </c>
      <c r="Z50" t="s">
        <v>233</v>
      </c>
      <c r="AB50" t="s">
        <v>244</v>
      </c>
      <c r="AU50" t="str">
        <f t="shared" si="5"/>
        <v>No</v>
      </c>
    </row>
    <row r="51" spans="1:47" x14ac:dyDescent="0.25">
      <c r="A51" t="s">
        <v>666</v>
      </c>
      <c r="B51" t="s">
        <v>356</v>
      </c>
      <c r="D51">
        <v>3640</v>
      </c>
      <c r="E51" t="s">
        <v>391</v>
      </c>
      <c r="G51" t="str">
        <f t="shared" si="0"/>
        <v>NA</v>
      </c>
      <c r="H51" t="str">
        <f t="shared" si="1"/>
        <v/>
      </c>
      <c r="J51" t="str">
        <f t="shared" si="2"/>
        <v>Transport/Operation</v>
      </c>
      <c r="K51" s="9" t="s">
        <v>355</v>
      </c>
      <c r="L51" s="9" t="s">
        <v>424</v>
      </c>
      <c r="M51" t="s">
        <v>317</v>
      </c>
      <c r="N51" t="s">
        <v>243</v>
      </c>
      <c r="O51" t="str">
        <f t="shared" si="3"/>
        <v>Manual</v>
      </c>
      <c r="P51">
        <v>0</v>
      </c>
      <c r="Q51">
        <v>999999999</v>
      </c>
      <c r="R51">
        <v>39.07</v>
      </c>
      <c r="T51">
        <v>0</v>
      </c>
      <c r="U51">
        <v>0</v>
      </c>
      <c r="V51" t="s">
        <v>244</v>
      </c>
      <c r="W51" t="str">
        <f t="shared" si="4"/>
        <v>HOUR</v>
      </c>
      <c r="X51" t="s">
        <v>425</v>
      </c>
      <c r="Y51" t="s">
        <v>425</v>
      </c>
      <c r="Z51" t="s">
        <v>233</v>
      </c>
      <c r="AB51" t="s">
        <v>244</v>
      </c>
      <c r="AU51" t="str">
        <f t="shared" si="5"/>
        <v>No</v>
      </c>
    </row>
    <row r="52" spans="1:47" x14ac:dyDescent="0.25">
      <c r="A52" t="s">
        <v>666</v>
      </c>
      <c r="B52" t="s">
        <v>356</v>
      </c>
      <c r="D52">
        <v>3640</v>
      </c>
      <c r="E52" t="s">
        <v>392</v>
      </c>
      <c r="G52" t="str">
        <f t="shared" si="0"/>
        <v>NA</v>
      </c>
      <c r="H52" t="str">
        <f t="shared" si="1"/>
        <v/>
      </c>
      <c r="J52" t="str">
        <f t="shared" si="2"/>
        <v>Transport/Operation</v>
      </c>
      <c r="K52" s="9" t="s">
        <v>355</v>
      </c>
      <c r="L52" s="9" t="s">
        <v>424</v>
      </c>
      <c r="M52" t="s">
        <v>317</v>
      </c>
      <c r="N52" t="s">
        <v>243</v>
      </c>
      <c r="O52" t="str">
        <f t="shared" si="3"/>
        <v>Manual</v>
      </c>
      <c r="P52">
        <v>0</v>
      </c>
      <c r="Q52">
        <v>999999999</v>
      </c>
      <c r="R52">
        <v>39.07</v>
      </c>
      <c r="T52">
        <v>0</v>
      </c>
      <c r="U52">
        <v>0</v>
      </c>
      <c r="V52" t="s">
        <v>244</v>
      </c>
      <c r="W52" t="str">
        <f t="shared" si="4"/>
        <v>HOUR</v>
      </c>
      <c r="X52" t="s">
        <v>425</v>
      </c>
      <c r="Y52" t="s">
        <v>425</v>
      </c>
      <c r="Z52" t="s">
        <v>233</v>
      </c>
      <c r="AA52" t="s">
        <v>466</v>
      </c>
      <c r="AB52" t="s">
        <v>244</v>
      </c>
      <c r="AU52" t="str">
        <f t="shared" si="5"/>
        <v>No</v>
      </c>
    </row>
    <row r="53" spans="1:47" x14ac:dyDescent="0.25">
      <c r="A53" t="s">
        <v>666</v>
      </c>
      <c r="B53" t="s">
        <v>356</v>
      </c>
      <c r="D53">
        <v>3640</v>
      </c>
      <c r="E53" t="s">
        <v>460</v>
      </c>
      <c r="G53" t="str">
        <f t="shared" si="0"/>
        <v>NA</v>
      </c>
      <c r="H53" t="str">
        <f t="shared" si="1"/>
        <v/>
      </c>
      <c r="J53" t="str">
        <f t="shared" si="2"/>
        <v>Transport/Operation</v>
      </c>
      <c r="K53" s="9" t="s">
        <v>355</v>
      </c>
      <c r="L53" s="9" t="s">
        <v>424</v>
      </c>
      <c r="M53" t="s">
        <v>317</v>
      </c>
      <c r="N53" t="s">
        <v>243</v>
      </c>
      <c r="O53" t="str">
        <f t="shared" si="3"/>
        <v>Manual</v>
      </c>
      <c r="P53">
        <v>0</v>
      </c>
      <c r="Q53">
        <v>999999999</v>
      </c>
      <c r="R53">
        <v>39.07</v>
      </c>
      <c r="T53">
        <v>0</v>
      </c>
      <c r="U53">
        <v>0</v>
      </c>
      <c r="V53" t="s">
        <v>244</v>
      </c>
      <c r="W53" t="str">
        <f t="shared" si="4"/>
        <v>HOUR</v>
      </c>
      <c r="X53" t="s">
        <v>425</v>
      </c>
      <c r="Y53" t="s">
        <v>425</v>
      </c>
      <c r="Z53" t="s">
        <v>233</v>
      </c>
      <c r="AA53" t="s">
        <v>467</v>
      </c>
      <c r="AB53" t="s">
        <v>244</v>
      </c>
      <c r="AU53" t="str">
        <f t="shared" si="5"/>
        <v>No</v>
      </c>
    </row>
    <row r="54" spans="1:47" x14ac:dyDescent="0.25">
      <c r="A54" t="s">
        <v>666</v>
      </c>
      <c r="B54" t="s">
        <v>356</v>
      </c>
      <c r="D54">
        <v>4400</v>
      </c>
      <c r="E54" t="s">
        <v>393</v>
      </c>
      <c r="G54" t="str">
        <f t="shared" si="0"/>
        <v>NA</v>
      </c>
      <c r="H54" t="str">
        <f t="shared" si="1"/>
        <v/>
      </c>
      <c r="J54" t="str">
        <f t="shared" si="2"/>
        <v>Transport/Operation</v>
      </c>
      <c r="K54" s="9" t="s">
        <v>355</v>
      </c>
      <c r="L54" s="9" t="s">
        <v>424</v>
      </c>
      <c r="M54" t="s">
        <v>325</v>
      </c>
      <c r="N54" t="s">
        <v>243</v>
      </c>
      <c r="O54" t="str">
        <f t="shared" si="3"/>
        <v>Automatic</v>
      </c>
      <c r="P54">
        <v>0</v>
      </c>
      <c r="Q54">
        <v>999999999</v>
      </c>
      <c r="R54">
        <v>12.32</v>
      </c>
      <c r="T54">
        <v>0</v>
      </c>
      <c r="U54">
        <v>0</v>
      </c>
      <c r="V54" t="s">
        <v>244</v>
      </c>
      <c r="W54" t="str">
        <f t="shared" si="4"/>
        <v>FILE</v>
      </c>
      <c r="X54" t="s">
        <v>425</v>
      </c>
      <c r="Y54" t="s">
        <v>425</v>
      </c>
      <c r="Z54" t="s">
        <v>233</v>
      </c>
      <c r="AB54" t="s">
        <v>244</v>
      </c>
      <c r="AU54" t="str">
        <f t="shared" si="5"/>
        <v>No</v>
      </c>
    </row>
    <row r="55" spans="1:47" x14ac:dyDescent="0.25">
      <c r="A55" t="s">
        <v>666</v>
      </c>
      <c r="B55" t="s">
        <v>356</v>
      </c>
      <c r="D55">
        <v>1402</v>
      </c>
      <c r="E55" t="s">
        <v>454</v>
      </c>
      <c r="G55" t="str">
        <f t="shared" si="0"/>
        <v>NA</v>
      </c>
      <c r="H55" t="str">
        <f t="shared" si="1"/>
        <v/>
      </c>
      <c r="J55" t="str">
        <f t="shared" si="2"/>
        <v>Transport/Operation</v>
      </c>
      <c r="K55" s="9" t="s">
        <v>355</v>
      </c>
      <c r="L55" s="9" t="s">
        <v>424</v>
      </c>
      <c r="M55" t="s">
        <v>439</v>
      </c>
      <c r="N55" t="s">
        <v>243</v>
      </c>
      <c r="O55" t="str">
        <f t="shared" si="3"/>
        <v>Manual</v>
      </c>
      <c r="P55">
        <v>0</v>
      </c>
      <c r="Q55">
        <v>999999999</v>
      </c>
      <c r="R55">
        <v>51.32</v>
      </c>
      <c r="T55">
        <v>0</v>
      </c>
      <c r="U55">
        <v>0</v>
      </c>
      <c r="V55" t="s">
        <v>244</v>
      </c>
      <c r="W55" t="str">
        <f t="shared" si="4"/>
        <v>ITEM</v>
      </c>
      <c r="X55" t="s">
        <v>425</v>
      </c>
      <c r="Y55" t="s">
        <v>425</v>
      </c>
      <c r="Z55" t="s">
        <v>233</v>
      </c>
      <c r="AB55" t="s">
        <v>244</v>
      </c>
      <c r="AU55" t="str">
        <f t="shared" si="5"/>
        <v>No</v>
      </c>
    </row>
    <row r="56" spans="1:47" x14ac:dyDescent="0.25">
      <c r="A56" t="s">
        <v>666</v>
      </c>
      <c r="B56" t="s">
        <v>356</v>
      </c>
      <c r="D56">
        <v>3330</v>
      </c>
      <c r="E56" t="s">
        <v>394</v>
      </c>
      <c r="G56" t="str">
        <f t="shared" si="0"/>
        <v>NA</v>
      </c>
      <c r="H56" t="str">
        <f t="shared" si="1"/>
        <v/>
      </c>
      <c r="J56" t="str">
        <f t="shared" si="2"/>
        <v>Transport/Operation</v>
      </c>
      <c r="K56" s="9" t="s">
        <v>355</v>
      </c>
      <c r="L56" s="9" t="s">
        <v>424</v>
      </c>
      <c r="M56" t="s">
        <v>325</v>
      </c>
      <c r="N56" t="s">
        <v>243</v>
      </c>
      <c r="O56" t="str">
        <f t="shared" si="3"/>
        <v>Automatic</v>
      </c>
      <c r="P56">
        <v>0</v>
      </c>
      <c r="Q56">
        <v>999999999</v>
      </c>
      <c r="R56">
        <v>573.70000000000005</v>
      </c>
      <c r="T56">
        <v>0</v>
      </c>
      <c r="U56">
        <v>0</v>
      </c>
      <c r="V56" t="s">
        <v>244</v>
      </c>
      <c r="W56" t="str">
        <f t="shared" si="4"/>
        <v>FILE</v>
      </c>
      <c r="X56" t="s">
        <v>425</v>
      </c>
      <c r="Y56" t="s">
        <v>425</v>
      </c>
      <c r="Z56" t="s">
        <v>233</v>
      </c>
      <c r="AB56" t="s">
        <v>244</v>
      </c>
      <c r="AU56" t="str">
        <f t="shared" si="5"/>
        <v>No</v>
      </c>
    </row>
    <row r="57" spans="1:47" x14ac:dyDescent="0.25">
      <c r="A57" t="s">
        <v>666</v>
      </c>
      <c r="B57" t="s">
        <v>356</v>
      </c>
      <c r="D57">
        <v>4400</v>
      </c>
      <c r="E57" t="s">
        <v>395</v>
      </c>
      <c r="G57" t="str">
        <f t="shared" si="0"/>
        <v>NA</v>
      </c>
      <c r="H57" t="str">
        <f t="shared" si="1"/>
        <v/>
      </c>
      <c r="J57" t="str">
        <f t="shared" si="2"/>
        <v>Transport/Operation</v>
      </c>
      <c r="K57" s="9" t="s">
        <v>355</v>
      </c>
      <c r="L57" s="9" t="s">
        <v>424</v>
      </c>
      <c r="M57" t="s">
        <v>325</v>
      </c>
      <c r="N57" t="s">
        <v>243</v>
      </c>
      <c r="O57" t="str">
        <f t="shared" si="3"/>
        <v>Automatic</v>
      </c>
      <c r="P57">
        <v>0</v>
      </c>
      <c r="Q57">
        <v>999999999</v>
      </c>
      <c r="R57">
        <v>82.03</v>
      </c>
      <c r="T57">
        <v>0</v>
      </c>
      <c r="U57">
        <v>0</v>
      </c>
      <c r="V57" t="s">
        <v>244</v>
      </c>
      <c r="W57" t="str">
        <f t="shared" si="4"/>
        <v>FILE</v>
      </c>
      <c r="X57" t="s">
        <v>425</v>
      </c>
      <c r="Y57" t="s">
        <v>425</v>
      </c>
      <c r="Z57" t="s">
        <v>233</v>
      </c>
      <c r="AB57" t="s">
        <v>244</v>
      </c>
      <c r="AU57" t="str">
        <f t="shared" si="5"/>
        <v>No</v>
      </c>
    </row>
    <row r="58" spans="1:47" x14ac:dyDescent="0.25">
      <c r="A58" t="s">
        <v>666</v>
      </c>
      <c r="B58" t="s">
        <v>356</v>
      </c>
      <c r="D58">
        <v>3330</v>
      </c>
      <c r="E58" t="s">
        <v>396</v>
      </c>
      <c r="G58" t="str">
        <f t="shared" si="0"/>
        <v>NA</v>
      </c>
      <c r="H58" t="str">
        <f t="shared" si="1"/>
        <v/>
      </c>
      <c r="J58" t="str">
        <f t="shared" si="2"/>
        <v>Transport/Operation</v>
      </c>
      <c r="K58" s="9" t="s">
        <v>355</v>
      </c>
      <c r="L58" s="9" t="s">
        <v>424</v>
      </c>
      <c r="M58" t="s">
        <v>325</v>
      </c>
      <c r="N58" t="s">
        <v>243</v>
      </c>
      <c r="O58" t="str">
        <f t="shared" si="3"/>
        <v>Automatic</v>
      </c>
      <c r="P58">
        <v>0</v>
      </c>
      <c r="Q58">
        <v>999999999</v>
      </c>
      <c r="R58">
        <v>615.78</v>
      </c>
      <c r="T58">
        <v>0</v>
      </c>
      <c r="U58">
        <v>0</v>
      </c>
      <c r="V58" t="s">
        <v>244</v>
      </c>
      <c r="W58" t="str">
        <f t="shared" si="4"/>
        <v>FILE</v>
      </c>
      <c r="X58" t="s">
        <v>425</v>
      </c>
      <c r="Y58" t="s">
        <v>425</v>
      </c>
      <c r="Z58" t="s">
        <v>233</v>
      </c>
      <c r="AA58" t="s">
        <v>434</v>
      </c>
      <c r="AB58" t="s">
        <v>244</v>
      </c>
      <c r="AU58" t="str">
        <f t="shared" si="5"/>
        <v>No</v>
      </c>
    </row>
    <row r="59" spans="1:47" x14ac:dyDescent="0.25">
      <c r="A59" t="s">
        <v>666</v>
      </c>
      <c r="B59" t="s">
        <v>356</v>
      </c>
      <c r="D59">
        <v>3776</v>
      </c>
      <c r="E59" t="s">
        <v>397</v>
      </c>
      <c r="G59" t="str">
        <f t="shared" si="0"/>
        <v>NA</v>
      </c>
      <c r="H59" t="str">
        <f t="shared" si="1"/>
        <v/>
      </c>
      <c r="J59" t="str">
        <f t="shared" si="2"/>
        <v>Transport/Operation</v>
      </c>
      <c r="K59" s="9" t="s">
        <v>355</v>
      </c>
      <c r="L59" s="9" t="s">
        <v>424</v>
      </c>
      <c r="M59" t="s">
        <v>325</v>
      </c>
      <c r="N59" t="s">
        <v>243</v>
      </c>
      <c r="O59" t="str">
        <f t="shared" si="3"/>
        <v>Automatic</v>
      </c>
      <c r="P59">
        <v>0</v>
      </c>
      <c r="Q59">
        <v>999999999</v>
      </c>
      <c r="R59">
        <v>431.05</v>
      </c>
      <c r="T59">
        <v>0</v>
      </c>
      <c r="U59">
        <v>0</v>
      </c>
      <c r="V59" t="s">
        <v>244</v>
      </c>
      <c r="W59" t="str">
        <f t="shared" si="4"/>
        <v>FILE</v>
      </c>
      <c r="X59" t="s">
        <v>425</v>
      </c>
      <c r="Y59" t="s">
        <v>425</v>
      </c>
      <c r="Z59" t="s">
        <v>233</v>
      </c>
      <c r="AA59" t="s">
        <v>435</v>
      </c>
      <c r="AB59" t="s">
        <v>244</v>
      </c>
      <c r="AU59" t="str">
        <f t="shared" si="5"/>
        <v>No</v>
      </c>
    </row>
    <row r="60" spans="1:47" x14ac:dyDescent="0.25">
      <c r="A60" t="s">
        <v>666</v>
      </c>
      <c r="B60" t="s">
        <v>356</v>
      </c>
      <c r="D60">
        <v>3640</v>
      </c>
      <c r="E60" t="s">
        <v>468</v>
      </c>
      <c r="G60" t="str">
        <f t="shared" si="0"/>
        <v>NA</v>
      </c>
      <c r="H60" t="str">
        <f t="shared" si="1"/>
        <v/>
      </c>
      <c r="J60" t="str">
        <f t="shared" si="2"/>
        <v>Transport/Operation</v>
      </c>
      <c r="K60" s="9" t="s">
        <v>355</v>
      </c>
      <c r="L60" s="9" t="s">
        <v>424</v>
      </c>
      <c r="M60" t="s">
        <v>469</v>
      </c>
      <c r="N60" t="s">
        <v>243</v>
      </c>
      <c r="O60" t="str">
        <f t="shared" si="3"/>
        <v>Manual</v>
      </c>
      <c r="P60">
        <v>0</v>
      </c>
      <c r="Q60">
        <v>999999999</v>
      </c>
      <c r="R60">
        <v>1.03</v>
      </c>
      <c r="T60">
        <v>0</v>
      </c>
      <c r="U60">
        <v>0</v>
      </c>
      <c r="V60" t="s">
        <v>244</v>
      </c>
      <c r="W60" t="str">
        <f t="shared" si="4"/>
        <v>LABEL</v>
      </c>
      <c r="X60" t="s">
        <v>425</v>
      </c>
      <c r="Y60" t="s">
        <v>425</v>
      </c>
      <c r="Z60" t="s">
        <v>233</v>
      </c>
      <c r="AB60" t="s">
        <v>244</v>
      </c>
      <c r="AU60" t="str">
        <f t="shared" si="5"/>
        <v>No</v>
      </c>
    </row>
    <row r="61" spans="1:47" x14ac:dyDescent="0.25">
      <c r="A61" t="s">
        <v>666</v>
      </c>
      <c r="B61" t="s">
        <v>356</v>
      </c>
      <c r="D61">
        <v>1403</v>
      </c>
      <c r="E61" t="s">
        <v>398</v>
      </c>
      <c r="G61" t="str">
        <f t="shared" si="0"/>
        <v>NA</v>
      </c>
      <c r="H61" t="str">
        <f t="shared" si="1"/>
        <v/>
      </c>
      <c r="J61" t="str">
        <f t="shared" si="2"/>
        <v>Transport/Operation</v>
      </c>
      <c r="K61" s="9" t="s">
        <v>355</v>
      </c>
      <c r="L61" s="9" t="s">
        <v>424</v>
      </c>
      <c r="M61" t="s">
        <v>326</v>
      </c>
      <c r="N61" t="s">
        <v>243</v>
      </c>
      <c r="O61" t="str">
        <f t="shared" si="3"/>
        <v>Automatic</v>
      </c>
      <c r="P61">
        <v>0</v>
      </c>
      <c r="Q61">
        <v>999999999</v>
      </c>
      <c r="R61">
        <v>821.04</v>
      </c>
      <c r="T61">
        <v>0</v>
      </c>
      <c r="U61">
        <v>0</v>
      </c>
      <c r="V61" t="s">
        <v>244</v>
      </c>
      <c r="W61" t="str">
        <f t="shared" si="4"/>
        <v>TRANSPORT</v>
      </c>
      <c r="X61" t="s">
        <v>425</v>
      </c>
      <c r="Y61" t="s">
        <v>425</v>
      </c>
      <c r="Z61" t="s">
        <v>233</v>
      </c>
      <c r="AB61" t="s">
        <v>244</v>
      </c>
      <c r="AU61" t="str">
        <f t="shared" si="5"/>
        <v>No</v>
      </c>
    </row>
    <row r="62" spans="1:47" x14ac:dyDescent="0.25">
      <c r="A62" t="s">
        <v>666</v>
      </c>
      <c r="B62" t="s">
        <v>356</v>
      </c>
      <c r="D62">
        <v>1403</v>
      </c>
      <c r="E62" t="s">
        <v>399</v>
      </c>
      <c r="G62" t="str">
        <f t="shared" si="0"/>
        <v>NA</v>
      </c>
      <c r="H62" t="str">
        <f t="shared" si="1"/>
        <v/>
      </c>
      <c r="J62" t="str">
        <f t="shared" si="2"/>
        <v>Transport/Operation</v>
      </c>
      <c r="K62" s="9" t="s">
        <v>355</v>
      </c>
      <c r="L62" s="9" t="s">
        <v>424</v>
      </c>
      <c r="M62" t="s">
        <v>326</v>
      </c>
      <c r="N62" t="s">
        <v>243</v>
      </c>
      <c r="O62" t="str">
        <f t="shared" si="3"/>
        <v>Automatic</v>
      </c>
      <c r="P62">
        <v>0</v>
      </c>
      <c r="Q62">
        <v>999999999</v>
      </c>
      <c r="R62">
        <v>2052.6</v>
      </c>
      <c r="T62">
        <v>0</v>
      </c>
      <c r="U62">
        <v>0</v>
      </c>
      <c r="V62" t="s">
        <v>244</v>
      </c>
      <c r="W62" t="str">
        <f t="shared" si="4"/>
        <v>TRANSPORT</v>
      </c>
      <c r="X62" t="s">
        <v>425</v>
      </c>
      <c r="Y62" t="s">
        <v>425</v>
      </c>
      <c r="Z62" t="s">
        <v>233</v>
      </c>
      <c r="AB62" t="s">
        <v>244</v>
      </c>
      <c r="AU62" t="str">
        <f t="shared" si="5"/>
        <v>No</v>
      </c>
    </row>
    <row r="63" spans="1:47" x14ac:dyDescent="0.25">
      <c r="A63" t="s">
        <v>666</v>
      </c>
      <c r="B63" t="s">
        <v>356</v>
      </c>
      <c r="D63">
        <v>1403</v>
      </c>
      <c r="E63" t="s">
        <v>400</v>
      </c>
      <c r="G63" t="str">
        <f t="shared" si="0"/>
        <v>NA</v>
      </c>
      <c r="H63" t="str">
        <f t="shared" si="1"/>
        <v/>
      </c>
      <c r="J63" t="str">
        <f t="shared" si="2"/>
        <v>Transport/Operation</v>
      </c>
      <c r="K63" s="9" t="s">
        <v>355</v>
      </c>
      <c r="L63" s="9" t="s">
        <v>424</v>
      </c>
      <c r="M63" t="s">
        <v>325</v>
      </c>
      <c r="N63" t="s">
        <v>243</v>
      </c>
      <c r="O63" t="str">
        <f t="shared" si="3"/>
        <v>Automatic</v>
      </c>
      <c r="P63">
        <v>0</v>
      </c>
      <c r="Q63">
        <v>999999999</v>
      </c>
      <c r="R63">
        <v>615.78</v>
      </c>
      <c r="T63">
        <v>0</v>
      </c>
      <c r="U63">
        <v>0</v>
      </c>
      <c r="V63" t="s">
        <v>244</v>
      </c>
      <c r="W63" t="str">
        <f t="shared" si="4"/>
        <v>FILE</v>
      </c>
      <c r="X63" t="s">
        <v>425</v>
      </c>
      <c r="Y63" t="s">
        <v>425</v>
      </c>
      <c r="Z63" t="s">
        <v>233</v>
      </c>
      <c r="AB63" t="s">
        <v>244</v>
      </c>
      <c r="AU63" t="str">
        <f t="shared" si="5"/>
        <v>No</v>
      </c>
    </row>
    <row r="64" spans="1:47" x14ac:dyDescent="0.25">
      <c r="A64" t="s">
        <v>666</v>
      </c>
      <c r="B64" t="s">
        <v>356</v>
      </c>
      <c r="D64">
        <v>3640</v>
      </c>
      <c r="E64" t="s">
        <v>461</v>
      </c>
      <c r="G64" t="str">
        <f t="shared" si="0"/>
        <v>NA</v>
      </c>
      <c r="H64" t="str">
        <f t="shared" si="1"/>
        <v/>
      </c>
      <c r="J64" t="str">
        <f t="shared" si="2"/>
        <v>Transport/Operation</v>
      </c>
      <c r="K64" s="9" t="s">
        <v>355</v>
      </c>
      <c r="L64" s="9" t="s">
        <v>424</v>
      </c>
      <c r="M64" t="s">
        <v>325</v>
      </c>
      <c r="N64" t="s">
        <v>243</v>
      </c>
      <c r="O64" t="str">
        <f t="shared" si="3"/>
        <v>Automatic</v>
      </c>
      <c r="P64">
        <v>0</v>
      </c>
      <c r="Q64">
        <v>999999999</v>
      </c>
      <c r="R64">
        <v>82.03</v>
      </c>
      <c r="T64">
        <v>0</v>
      </c>
      <c r="U64">
        <v>0</v>
      </c>
      <c r="V64" t="s">
        <v>244</v>
      </c>
      <c r="W64" t="str">
        <f t="shared" si="4"/>
        <v>FILE</v>
      </c>
      <c r="X64" t="s">
        <v>425</v>
      </c>
      <c r="Y64" t="s">
        <v>425</v>
      </c>
      <c r="Z64" t="s">
        <v>233</v>
      </c>
      <c r="AB64" t="s">
        <v>244</v>
      </c>
      <c r="AU64" t="str">
        <f t="shared" si="5"/>
        <v>No</v>
      </c>
    </row>
    <row r="65" spans="1:47" x14ac:dyDescent="0.25">
      <c r="A65" t="s">
        <v>666</v>
      </c>
      <c r="B65" t="s">
        <v>356</v>
      </c>
      <c r="D65">
        <v>3700</v>
      </c>
      <c r="E65" s="12" t="s">
        <v>401</v>
      </c>
      <c r="G65" t="str">
        <f t="shared" si="0"/>
        <v>NA</v>
      </c>
      <c r="H65" t="str">
        <f t="shared" si="1"/>
        <v/>
      </c>
      <c r="J65" t="str">
        <f t="shared" si="2"/>
        <v>Transport/Operation</v>
      </c>
      <c r="K65" s="9" t="s">
        <v>355</v>
      </c>
      <c r="L65" s="9" t="s">
        <v>424</v>
      </c>
      <c r="M65" t="s">
        <v>439</v>
      </c>
      <c r="N65" t="s">
        <v>243</v>
      </c>
      <c r="O65" t="str">
        <f t="shared" si="3"/>
        <v>Manual</v>
      </c>
      <c r="P65">
        <v>0</v>
      </c>
      <c r="Q65">
        <v>999999999</v>
      </c>
      <c r="R65">
        <v>30.79</v>
      </c>
      <c r="T65">
        <v>0</v>
      </c>
      <c r="U65">
        <v>0</v>
      </c>
      <c r="V65" t="s">
        <v>244</v>
      </c>
      <c r="W65" t="str">
        <f t="shared" si="4"/>
        <v>ITEM</v>
      </c>
      <c r="X65" t="s">
        <v>425</v>
      </c>
      <c r="Y65" t="s">
        <v>425</v>
      </c>
      <c r="Z65" t="s">
        <v>233</v>
      </c>
      <c r="AB65" t="s">
        <v>244</v>
      </c>
      <c r="AU65" t="str">
        <f t="shared" si="5"/>
        <v>No</v>
      </c>
    </row>
    <row r="66" spans="1:47" x14ac:dyDescent="0.25">
      <c r="A66" t="s">
        <v>666</v>
      </c>
      <c r="B66" t="s">
        <v>356</v>
      </c>
      <c r="D66">
        <v>3700</v>
      </c>
      <c r="E66" s="12" t="s">
        <v>402</v>
      </c>
      <c r="G66" t="str">
        <f t="shared" ref="G66:G95" si="6">IF(ISNUMBER(SEARCH("Prepacked",$E66)),"Inbound",IF(ISNUMBER(SEARCH("Transfer",$E66)),"Manipulation",IF(ISNUMBER(SEARCH("Storage",$E66)),"Real Estate",IF(ISNUMBER(SEARCH("Packaging Railcar",$E66)),"Manipulation",IF(ISNUMBER(SEARCH("Repack",$E66)),"Manipulation",IF(ISNUMBER(SEARCH("Packaging Upcharge",$E66)),"Manipulation","NA"))))))</f>
        <v>NA</v>
      </c>
      <c r="H66" t="str">
        <f t="shared" ref="H66:H95" si="7">IF($G66="Real Estate",IF(ISNUMBER(SEARCH("Import",$E66)),"FIXED",IF(ISNUMBER(SEARCH("Railcar",$E66)),"RAILCAR",IF(ISNUMBER(SEARCH("Container",$E66)),"CTRSTORAGE","WAREHOUSE"))),"")</f>
        <v/>
      </c>
      <c r="J66" t="str">
        <f t="shared" ref="J66:J95" si="8">IF($M66="POUND","Stock",IF($M66="POUNDS/100","Stock",IF($M66="KG","Stock",IF($M66="BAG","Stock",IF($M66="OCTABIN","Stock",IF($M66="BOX","Stock",IF($M66="POUND","BIGBAG",IF($M66="NET/TON","Stock",IF($M66="DRUM","Stock",IF($M66="POUND","PALLET","Transport/Operation"))))))))))</f>
        <v>Transport/Operation</v>
      </c>
      <c r="K66" s="9" t="s">
        <v>355</v>
      </c>
      <c r="L66" s="9" t="s">
        <v>424</v>
      </c>
      <c r="M66" t="s">
        <v>439</v>
      </c>
      <c r="N66" t="s">
        <v>243</v>
      </c>
      <c r="O66" t="str">
        <f t="shared" ref="O66:O95" si="9">IF($M66="ITEM","Manual",IF($M66="LABEL","Manual",IF($M66="HOUR","Manual",IF($M66="DAY","Manual","Automatic"))))</f>
        <v>Manual</v>
      </c>
      <c r="P66">
        <v>0</v>
      </c>
      <c r="Q66">
        <v>999999999</v>
      </c>
      <c r="R66">
        <v>230.92</v>
      </c>
      <c r="T66">
        <v>0</v>
      </c>
      <c r="U66">
        <v>0</v>
      </c>
      <c r="V66" t="s">
        <v>244</v>
      </c>
      <c r="W66" t="str">
        <f t="shared" ref="W66:W95" si="10">IF($M66="RC/PD/RPTDS","RC/PD/RPD",$M66)</f>
        <v>ITEM</v>
      </c>
      <c r="X66" t="s">
        <v>425</v>
      </c>
      <c r="Y66" t="s">
        <v>425</v>
      </c>
      <c r="Z66" t="s">
        <v>233</v>
      </c>
      <c r="AB66" t="s">
        <v>244</v>
      </c>
      <c r="AU66" t="str">
        <f t="shared" ref="AU66:AU95" si="11">IF($AT66&gt;0,"Yes","No")</f>
        <v>No</v>
      </c>
    </row>
    <row r="67" spans="1:47" x14ac:dyDescent="0.25">
      <c r="A67" t="s">
        <v>666</v>
      </c>
      <c r="B67" t="s">
        <v>356</v>
      </c>
      <c r="D67">
        <v>1402</v>
      </c>
      <c r="E67" t="s">
        <v>455</v>
      </c>
      <c r="G67" t="str">
        <f t="shared" si="6"/>
        <v>NA</v>
      </c>
      <c r="H67" t="str">
        <f t="shared" si="7"/>
        <v/>
      </c>
      <c r="J67" t="str">
        <f t="shared" si="8"/>
        <v>Transport/Operation</v>
      </c>
      <c r="K67" s="9" t="s">
        <v>355</v>
      </c>
      <c r="L67" s="9" t="s">
        <v>424</v>
      </c>
      <c r="M67" t="s">
        <v>321</v>
      </c>
      <c r="N67" t="s">
        <v>243</v>
      </c>
      <c r="O67" t="str">
        <f t="shared" si="9"/>
        <v>Automatic</v>
      </c>
      <c r="P67">
        <v>0</v>
      </c>
      <c r="Q67">
        <v>999999999</v>
      </c>
      <c r="R67">
        <v>256.58</v>
      </c>
      <c r="T67">
        <v>0</v>
      </c>
      <c r="U67">
        <v>0</v>
      </c>
      <c r="V67" t="s">
        <v>244</v>
      </c>
      <c r="W67" t="str">
        <f t="shared" si="10"/>
        <v>RAILCAR</v>
      </c>
      <c r="X67" t="s">
        <v>425</v>
      </c>
      <c r="Y67" t="s">
        <v>425</v>
      </c>
      <c r="Z67" t="s">
        <v>233</v>
      </c>
      <c r="AB67" t="s">
        <v>244</v>
      </c>
      <c r="AU67" t="str">
        <f t="shared" si="11"/>
        <v>No</v>
      </c>
    </row>
    <row r="68" spans="1:47" x14ac:dyDescent="0.25">
      <c r="A68" t="s">
        <v>666</v>
      </c>
      <c r="B68" t="s">
        <v>356</v>
      </c>
      <c r="D68">
        <v>3560</v>
      </c>
      <c r="E68" t="s">
        <v>403</v>
      </c>
      <c r="G68" t="str">
        <f t="shared" si="6"/>
        <v>NA</v>
      </c>
      <c r="H68" t="str">
        <f t="shared" si="7"/>
        <v/>
      </c>
      <c r="J68" t="str">
        <f t="shared" si="8"/>
        <v>Transport/Operation</v>
      </c>
      <c r="K68" s="9" t="s">
        <v>355</v>
      </c>
      <c r="L68" s="9" t="s">
        <v>424</v>
      </c>
      <c r="M68" t="s">
        <v>328</v>
      </c>
      <c r="N68" t="s">
        <v>243</v>
      </c>
      <c r="O68" t="str">
        <f t="shared" si="9"/>
        <v>Automatic</v>
      </c>
      <c r="P68">
        <v>0</v>
      </c>
      <c r="Q68">
        <v>999999999</v>
      </c>
      <c r="R68">
        <v>142.66</v>
      </c>
      <c r="T68">
        <v>0</v>
      </c>
      <c r="U68">
        <v>0</v>
      </c>
      <c r="V68" t="s">
        <v>244</v>
      </c>
      <c r="W68" t="str">
        <f t="shared" si="10"/>
        <v>CONTAINER</v>
      </c>
      <c r="X68" t="s">
        <v>425</v>
      </c>
      <c r="Y68" t="s">
        <v>425</v>
      </c>
      <c r="Z68" t="s">
        <v>233</v>
      </c>
      <c r="AB68" t="s">
        <v>244</v>
      </c>
      <c r="AU68" t="str">
        <f t="shared" si="11"/>
        <v>No</v>
      </c>
    </row>
    <row r="69" spans="1:47" x14ac:dyDescent="0.25">
      <c r="A69" t="s">
        <v>666</v>
      </c>
      <c r="B69" t="s">
        <v>356</v>
      </c>
      <c r="D69">
        <v>3640</v>
      </c>
      <c r="E69" t="s">
        <v>404</v>
      </c>
      <c r="G69" t="str">
        <f t="shared" si="6"/>
        <v>NA</v>
      </c>
      <c r="H69" t="str">
        <f t="shared" si="7"/>
        <v/>
      </c>
      <c r="J69" t="str">
        <f t="shared" si="8"/>
        <v>Transport/Operation</v>
      </c>
      <c r="K69" s="9" t="s">
        <v>355</v>
      </c>
      <c r="L69" s="9" t="s">
        <v>424</v>
      </c>
      <c r="M69" t="s">
        <v>326</v>
      </c>
      <c r="N69" t="s">
        <v>243</v>
      </c>
      <c r="O69" t="str">
        <f t="shared" si="9"/>
        <v>Automatic</v>
      </c>
      <c r="P69">
        <v>0</v>
      </c>
      <c r="Q69">
        <v>999999999</v>
      </c>
      <c r="R69">
        <v>2.0499999999999998</v>
      </c>
      <c r="T69">
        <v>0</v>
      </c>
      <c r="U69">
        <v>0</v>
      </c>
      <c r="V69" t="s">
        <v>244</v>
      </c>
      <c r="W69" t="str">
        <f t="shared" si="10"/>
        <v>TRANSPORT</v>
      </c>
      <c r="X69" t="s">
        <v>425</v>
      </c>
      <c r="Y69" t="s">
        <v>425</v>
      </c>
      <c r="Z69" t="s">
        <v>233</v>
      </c>
      <c r="AA69" t="s">
        <v>436</v>
      </c>
      <c r="AB69" t="s">
        <v>244</v>
      </c>
      <c r="AU69" t="str">
        <f t="shared" si="11"/>
        <v>No</v>
      </c>
    </row>
    <row r="70" spans="1:47" x14ac:dyDescent="0.25">
      <c r="A70" t="s">
        <v>666</v>
      </c>
      <c r="B70" t="s">
        <v>356</v>
      </c>
      <c r="D70">
        <v>3640</v>
      </c>
      <c r="E70" t="s">
        <v>440</v>
      </c>
      <c r="G70" t="str">
        <f t="shared" si="6"/>
        <v>NA</v>
      </c>
      <c r="H70" t="str">
        <f t="shared" si="7"/>
        <v/>
      </c>
      <c r="J70" t="str">
        <f t="shared" si="8"/>
        <v>Transport/Operation</v>
      </c>
      <c r="K70" s="9" t="s">
        <v>355</v>
      </c>
      <c r="L70" s="9" t="s">
        <v>424</v>
      </c>
      <c r="M70" t="s">
        <v>324</v>
      </c>
      <c r="N70" t="s">
        <v>243</v>
      </c>
      <c r="O70" t="str">
        <f t="shared" si="9"/>
        <v>Automatic</v>
      </c>
      <c r="P70">
        <v>0</v>
      </c>
      <c r="Q70">
        <v>999999999</v>
      </c>
      <c r="R70">
        <v>3.85</v>
      </c>
      <c r="T70">
        <v>0</v>
      </c>
      <c r="U70">
        <v>0</v>
      </c>
      <c r="V70" t="s">
        <v>244</v>
      </c>
      <c r="W70" t="str">
        <f t="shared" si="10"/>
        <v>PALLET</v>
      </c>
      <c r="X70" t="s">
        <v>425</v>
      </c>
      <c r="Y70" t="s">
        <v>425</v>
      </c>
      <c r="Z70" t="s">
        <v>233</v>
      </c>
      <c r="AB70" t="s">
        <v>244</v>
      </c>
      <c r="AU70" t="str">
        <f t="shared" si="11"/>
        <v>No</v>
      </c>
    </row>
    <row r="71" spans="1:47" x14ac:dyDescent="0.25">
      <c r="A71" t="s">
        <v>666</v>
      </c>
      <c r="B71" t="s">
        <v>356</v>
      </c>
      <c r="D71">
        <v>3310</v>
      </c>
      <c r="E71" t="s">
        <v>405</v>
      </c>
      <c r="G71" t="str">
        <f t="shared" si="6"/>
        <v>Manipulation</v>
      </c>
      <c r="H71" t="str">
        <f t="shared" si="7"/>
        <v/>
      </c>
      <c r="J71" t="str">
        <f t="shared" si="8"/>
        <v>Stock</v>
      </c>
      <c r="K71" s="9" t="s">
        <v>355</v>
      </c>
      <c r="L71" s="9" t="s">
        <v>424</v>
      </c>
      <c r="M71" t="s">
        <v>319</v>
      </c>
      <c r="N71" t="s">
        <v>243</v>
      </c>
      <c r="O71" t="str">
        <f t="shared" si="9"/>
        <v>Automatic</v>
      </c>
      <c r="P71">
        <v>0</v>
      </c>
      <c r="Q71">
        <v>999999999</v>
      </c>
      <c r="R71">
        <v>5.47</v>
      </c>
      <c r="T71">
        <v>0</v>
      </c>
      <c r="U71">
        <v>0</v>
      </c>
      <c r="V71" t="s">
        <v>244</v>
      </c>
      <c r="W71" t="str">
        <f t="shared" si="10"/>
        <v>NET/TON</v>
      </c>
      <c r="X71" t="s">
        <v>425</v>
      </c>
      <c r="Y71" t="s">
        <v>425</v>
      </c>
      <c r="Z71" t="s">
        <v>233</v>
      </c>
      <c r="AB71" t="s">
        <v>244</v>
      </c>
      <c r="AU71" t="str">
        <f t="shared" si="11"/>
        <v>No</v>
      </c>
    </row>
    <row r="72" spans="1:47" x14ac:dyDescent="0.25">
      <c r="A72" t="s">
        <v>666</v>
      </c>
      <c r="B72" t="s">
        <v>356</v>
      </c>
      <c r="D72">
        <v>3310</v>
      </c>
      <c r="E72" t="s">
        <v>406</v>
      </c>
      <c r="G72" t="str">
        <f t="shared" si="6"/>
        <v>Manipulation</v>
      </c>
      <c r="H72" t="str">
        <f t="shared" si="7"/>
        <v/>
      </c>
      <c r="J72" t="str">
        <f t="shared" si="8"/>
        <v>Stock</v>
      </c>
      <c r="K72" s="9" t="s">
        <v>355</v>
      </c>
      <c r="L72" s="9" t="s">
        <v>424</v>
      </c>
      <c r="M72" t="s">
        <v>319</v>
      </c>
      <c r="N72" t="s">
        <v>243</v>
      </c>
      <c r="O72" t="str">
        <f t="shared" si="9"/>
        <v>Automatic</v>
      </c>
      <c r="P72">
        <v>0</v>
      </c>
      <c r="Q72">
        <v>999999999</v>
      </c>
      <c r="R72">
        <v>10.42</v>
      </c>
      <c r="T72">
        <v>0</v>
      </c>
      <c r="U72">
        <v>0</v>
      </c>
      <c r="V72" t="s">
        <v>244</v>
      </c>
      <c r="W72" t="str">
        <f t="shared" si="10"/>
        <v>NET/TON</v>
      </c>
      <c r="X72" t="s">
        <v>425</v>
      </c>
      <c r="Y72" t="s">
        <v>425</v>
      </c>
      <c r="Z72" t="s">
        <v>233</v>
      </c>
      <c r="AB72" t="s">
        <v>244</v>
      </c>
      <c r="AU72" t="str">
        <f t="shared" si="11"/>
        <v>No</v>
      </c>
    </row>
    <row r="73" spans="1:47" x14ac:dyDescent="0.25">
      <c r="A73" t="s">
        <v>666</v>
      </c>
      <c r="B73" t="s">
        <v>356</v>
      </c>
      <c r="D73">
        <v>3310</v>
      </c>
      <c r="E73" t="s">
        <v>407</v>
      </c>
      <c r="G73" t="str">
        <f t="shared" si="6"/>
        <v>Manipulation</v>
      </c>
      <c r="H73" t="str">
        <f t="shared" si="7"/>
        <v/>
      </c>
      <c r="J73" t="str">
        <f t="shared" si="8"/>
        <v>Transport/Operation</v>
      </c>
      <c r="K73" s="9" t="s">
        <v>355</v>
      </c>
      <c r="L73" s="9" t="s">
        <v>424</v>
      </c>
      <c r="M73" t="s">
        <v>321</v>
      </c>
      <c r="N73" t="s">
        <v>243</v>
      </c>
      <c r="O73" t="str">
        <f t="shared" si="9"/>
        <v>Automatic</v>
      </c>
      <c r="P73">
        <v>0</v>
      </c>
      <c r="Q73">
        <v>999999999</v>
      </c>
      <c r="R73">
        <v>546.89</v>
      </c>
      <c r="T73">
        <v>0</v>
      </c>
      <c r="U73">
        <v>0</v>
      </c>
      <c r="V73" t="s">
        <v>244</v>
      </c>
      <c r="W73" t="str">
        <f t="shared" si="10"/>
        <v>RAILCAR</v>
      </c>
      <c r="X73" t="s">
        <v>425</v>
      </c>
      <c r="Y73" t="s">
        <v>425</v>
      </c>
      <c r="Z73" t="s">
        <v>233</v>
      </c>
      <c r="AB73" t="s">
        <v>244</v>
      </c>
      <c r="AU73" t="str">
        <f t="shared" si="11"/>
        <v>No</v>
      </c>
    </row>
    <row r="74" spans="1:47" x14ac:dyDescent="0.25">
      <c r="A74" t="s">
        <v>666</v>
      </c>
      <c r="B74" t="s">
        <v>356</v>
      </c>
      <c r="D74">
        <v>3310</v>
      </c>
      <c r="E74" t="s">
        <v>408</v>
      </c>
      <c r="G74" t="str">
        <f t="shared" si="6"/>
        <v>Manipulation</v>
      </c>
      <c r="H74" t="str">
        <f t="shared" si="7"/>
        <v/>
      </c>
      <c r="J74" t="str">
        <f t="shared" si="8"/>
        <v>Stock</v>
      </c>
      <c r="K74" s="9" t="s">
        <v>355</v>
      </c>
      <c r="L74" s="9" t="s">
        <v>424</v>
      </c>
      <c r="M74" t="s">
        <v>319</v>
      </c>
      <c r="N74" t="s">
        <v>243</v>
      </c>
      <c r="O74" t="str">
        <f t="shared" si="9"/>
        <v>Automatic</v>
      </c>
      <c r="P74">
        <v>0</v>
      </c>
      <c r="Q74">
        <v>999999999</v>
      </c>
      <c r="R74">
        <v>4.63</v>
      </c>
      <c r="T74">
        <v>0</v>
      </c>
      <c r="U74">
        <v>0</v>
      </c>
      <c r="V74" t="s">
        <v>244</v>
      </c>
      <c r="W74" t="str">
        <f t="shared" si="10"/>
        <v>NET/TON</v>
      </c>
      <c r="X74" t="s">
        <v>425</v>
      </c>
      <c r="Y74" t="s">
        <v>425</v>
      </c>
      <c r="Z74" t="s">
        <v>233</v>
      </c>
      <c r="AB74" t="s">
        <v>244</v>
      </c>
      <c r="AU74" t="str">
        <f t="shared" si="11"/>
        <v>No</v>
      </c>
    </row>
    <row r="75" spans="1:47" x14ac:dyDescent="0.25">
      <c r="A75" t="s">
        <v>666</v>
      </c>
      <c r="B75" t="s">
        <v>356</v>
      </c>
      <c r="D75">
        <v>3640</v>
      </c>
      <c r="E75" t="s">
        <v>409</v>
      </c>
      <c r="G75" t="str">
        <f t="shared" si="6"/>
        <v>NA</v>
      </c>
      <c r="H75" t="str">
        <f t="shared" si="7"/>
        <v/>
      </c>
      <c r="J75" t="str">
        <f t="shared" si="8"/>
        <v>Stock</v>
      </c>
      <c r="K75" s="9" t="s">
        <v>355</v>
      </c>
      <c r="L75" s="9" t="s">
        <v>424</v>
      </c>
      <c r="M75" t="s">
        <v>319</v>
      </c>
      <c r="N75" t="s">
        <v>243</v>
      </c>
      <c r="O75" t="str">
        <f t="shared" si="9"/>
        <v>Automatic</v>
      </c>
      <c r="P75">
        <v>0</v>
      </c>
      <c r="Q75">
        <v>999999999</v>
      </c>
      <c r="R75">
        <v>23.37</v>
      </c>
      <c r="T75">
        <v>0</v>
      </c>
      <c r="U75">
        <v>0</v>
      </c>
      <c r="V75" t="s">
        <v>244</v>
      </c>
      <c r="W75" t="str">
        <f t="shared" si="10"/>
        <v>NET/TON</v>
      </c>
      <c r="X75" t="s">
        <v>425</v>
      </c>
      <c r="Y75" t="s">
        <v>425</v>
      </c>
      <c r="Z75" t="s">
        <v>233</v>
      </c>
      <c r="AB75" t="s">
        <v>244</v>
      </c>
      <c r="AU75" t="str">
        <f t="shared" si="11"/>
        <v>No</v>
      </c>
    </row>
    <row r="76" spans="1:47" x14ac:dyDescent="0.25">
      <c r="A76" t="s">
        <v>666</v>
      </c>
      <c r="B76" t="s">
        <v>356</v>
      </c>
      <c r="D76">
        <v>3700</v>
      </c>
      <c r="E76" t="s">
        <v>410</v>
      </c>
      <c r="G76" t="str">
        <f t="shared" si="6"/>
        <v>NA</v>
      </c>
      <c r="H76" t="str">
        <f t="shared" si="7"/>
        <v/>
      </c>
      <c r="J76" t="str">
        <f t="shared" si="8"/>
        <v>Transport/Operation</v>
      </c>
      <c r="K76" s="9" t="s">
        <v>355</v>
      </c>
      <c r="L76" s="9" t="s">
        <v>424</v>
      </c>
      <c r="M76" t="s">
        <v>439</v>
      </c>
      <c r="N76" t="s">
        <v>243</v>
      </c>
      <c r="O76" t="str">
        <f t="shared" si="9"/>
        <v>Manual</v>
      </c>
      <c r="P76">
        <v>0</v>
      </c>
      <c r="Q76">
        <v>999999999</v>
      </c>
      <c r="R76">
        <v>0</v>
      </c>
      <c r="T76">
        <v>0</v>
      </c>
      <c r="U76">
        <v>0</v>
      </c>
      <c r="V76" t="s">
        <v>301</v>
      </c>
      <c r="W76" t="str">
        <f t="shared" si="10"/>
        <v>ITEM</v>
      </c>
      <c r="X76" t="s">
        <v>425</v>
      </c>
      <c r="Y76" t="s">
        <v>425</v>
      </c>
      <c r="Z76" t="s">
        <v>233</v>
      </c>
      <c r="AA76" t="s">
        <v>437</v>
      </c>
      <c r="AB76" t="s">
        <v>244</v>
      </c>
      <c r="AU76" t="str">
        <f t="shared" si="11"/>
        <v>No</v>
      </c>
    </row>
    <row r="77" spans="1:47" x14ac:dyDescent="0.25">
      <c r="A77" t="s">
        <v>666</v>
      </c>
      <c r="B77" t="s">
        <v>356</v>
      </c>
      <c r="D77">
        <v>3700</v>
      </c>
      <c r="E77" t="s">
        <v>411</v>
      </c>
      <c r="G77" t="str">
        <f t="shared" si="6"/>
        <v>NA</v>
      </c>
      <c r="H77" t="str">
        <f t="shared" si="7"/>
        <v/>
      </c>
      <c r="J77" t="str">
        <f t="shared" si="8"/>
        <v>Transport/Operation</v>
      </c>
      <c r="K77" s="9" t="s">
        <v>355</v>
      </c>
      <c r="L77" s="9" t="s">
        <v>424</v>
      </c>
      <c r="M77" t="s">
        <v>439</v>
      </c>
      <c r="N77" t="s">
        <v>243</v>
      </c>
      <c r="O77" t="str">
        <f t="shared" si="9"/>
        <v>Manual</v>
      </c>
      <c r="P77">
        <v>0</v>
      </c>
      <c r="Q77">
        <v>999999999</v>
      </c>
      <c r="R77">
        <v>0</v>
      </c>
      <c r="T77">
        <v>0</v>
      </c>
      <c r="U77">
        <v>0</v>
      </c>
      <c r="V77" t="s">
        <v>301</v>
      </c>
      <c r="W77" t="str">
        <f t="shared" si="10"/>
        <v>ITEM</v>
      </c>
      <c r="X77" t="s">
        <v>425</v>
      </c>
      <c r="Y77" t="s">
        <v>425</v>
      </c>
      <c r="Z77" t="s">
        <v>233</v>
      </c>
      <c r="AA77" t="s">
        <v>437</v>
      </c>
      <c r="AB77" t="s">
        <v>244</v>
      </c>
      <c r="AU77" t="str">
        <f t="shared" si="11"/>
        <v>No</v>
      </c>
    </row>
    <row r="78" spans="1:47" x14ac:dyDescent="0.25">
      <c r="A78" t="s">
        <v>666</v>
      </c>
      <c r="B78" t="s">
        <v>356</v>
      </c>
      <c r="D78">
        <v>3700</v>
      </c>
      <c r="E78" t="s">
        <v>412</v>
      </c>
      <c r="G78" t="str">
        <f t="shared" si="6"/>
        <v>NA</v>
      </c>
      <c r="H78" t="str">
        <f t="shared" si="7"/>
        <v/>
      </c>
      <c r="J78" t="str">
        <f t="shared" si="8"/>
        <v>Transport/Operation</v>
      </c>
      <c r="K78" s="9" t="s">
        <v>355</v>
      </c>
      <c r="L78" s="9" t="s">
        <v>424</v>
      </c>
      <c r="M78" t="s">
        <v>439</v>
      </c>
      <c r="N78" t="s">
        <v>243</v>
      </c>
      <c r="O78" t="str">
        <f t="shared" si="9"/>
        <v>Manual</v>
      </c>
      <c r="P78">
        <v>0</v>
      </c>
      <c r="Q78">
        <v>999999999</v>
      </c>
      <c r="R78">
        <v>0</v>
      </c>
      <c r="T78">
        <v>0</v>
      </c>
      <c r="U78">
        <v>0</v>
      </c>
      <c r="V78" t="s">
        <v>301</v>
      </c>
      <c r="W78" t="str">
        <f t="shared" si="10"/>
        <v>ITEM</v>
      </c>
      <c r="X78" t="s">
        <v>425</v>
      </c>
      <c r="Y78" t="s">
        <v>425</v>
      </c>
      <c r="Z78" t="s">
        <v>233</v>
      </c>
      <c r="AA78" t="s">
        <v>437</v>
      </c>
      <c r="AB78" t="s">
        <v>244</v>
      </c>
      <c r="AU78" t="str">
        <f t="shared" si="11"/>
        <v>No</v>
      </c>
    </row>
    <row r="79" spans="1:47" x14ac:dyDescent="0.25">
      <c r="A79" t="s">
        <v>666</v>
      </c>
      <c r="B79" t="s">
        <v>356</v>
      </c>
      <c r="D79">
        <v>3700</v>
      </c>
      <c r="E79" t="s">
        <v>413</v>
      </c>
      <c r="G79" t="str">
        <f t="shared" si="6"/>
        <v>NA</v>
      </c>
      <c r="H79" t="str">
        <f t="shared" si="7"/>
        <v/>
      </c>
      <c r="J79" t="str">
        <f t="shared" si="8"/>
        <v>Transport/Operation</v>
      </c>
      <c r="K79" s="9" t="s">
        <v>355</v>
      </c>
      <c r="L79" s="9" t="s">
        <v>424</v>
      </c>
      <c r="M79" t="s">
        <v>439</v>
      </c>
      <c r="N79" t="s">
        <v>243</v>
      </c>
      <c r="O79" t="str">
        <f t="shared" si="9"/>
        <v>Manual</v>
      </c>
      <c r="P79">
        <v>0</v>
      </c>
      <c r="Q79">
        <v>999999999</v>
      </c>
      <c r="R79">
        <v>0</v>
      </c>
      <c r="T79">
        <v>0</v>
      </c>
      <c r="U79">
        <v>0</v>
      </c>
      <c r="V79" t="s">
        <v>301</v>
      </c>
      <c r="W79" t="str">
        <f t="shared" si="10"/>
        <v>ITEM</v>
      </c>
      <c r="X79" t="s">
        <v>425</v>
      </c>
      <c r="Y79" t="s">
        <v>425</v>
      </c>
      <c r="Z79" t="s">
        <v>233</v>
      </c>
      <c r="AA79" t="s">
        <v>437</v>
      </c>
      <c r="AB79" t="s">
        <v>244</v>
      </c>
      <c r="AU79" t="str">
        <f t="shared" si="11"/>
        <v>No</v>
      </c>
    </row>
    <row r="80" spans="1:47" x14ac:dyDescent="0.25">
      <c r="A80" t="s">
        <v>666</v>
      </c>
      <c r="B80" t="s">
        <v>356</v>
      </c>
      <c r="D80">
        <v>3700</v>
      </c>
      <c r="E80" t="s">
        <v>414</v>
      </c>
      <c r="G80" t="str">
        <f t="shared" si="6"/>
        <v>NA</v>
      </c>
      <c r="H80" t="str">
        <f t="shared" si="7"/>
        <v/>
      </c>
      <c r="J80" t="str">
        <f t="shared" si="8"/>
        <v>Transport/Operation</v>
      </c>
      <c r="K80" s="9" t="s">
        <v>355</v>
      </c>
      <c r="L80" s="9" t="s">
        <v>424</v>
      </c>
      <c r="M80" t="s">
        <v>439</v>
      </c>
      <c r="N80" t="s">
        <v>243</v>
      </c>
      <c r="O80" t="str">
        <f t="shared" si="9"/>
        <v>Manual</v>
      </c>
      <c r="P80">
        <v>0</v>
      </c>
      <c r="Q80">
        <v>999999999</v>
      </c>
      <c r="R80">
        <v>0</v>
      </c>
      <c r="T80">
        <v>0</v>
      </c>
      <c r="U80">
        <v>0</v>
      </c>
      <c r="V80" t="s">
        <v>301</v>
      </c>
      <c r="W80" t="str">
        <f t="shared" si="10"/>
        <v>ITEM</v>
      </c>
      <c r="X80" t="s">
        <v>425</v>
      </c>
      <c r="Y80" t="s">
        <v>425</v>
      </c>
      <c r="Z80" t="s">
        <v>233</v>
      </c>
      <c r="AA80" t="s">
        <v>437</v>
      </c>
      <c r="AB80" t="s">
        <v>244</v>
      </c>
      <c r="AU80" t="str">
        <f t="shared" si="11"/>
        <v>No</v>
      </c>
    </row>
    <row r="81" spans="1:47" x14ac:dyDescent="0.25">
      <c r="A81" t="s">
        <v>666</v>
      </c>
      <c r="B81" t="s">
        <v>356</v>
      </c>
      <c r="D81">
        <v>3700</v>
      </c>
      <c r="E81" t="s">
        <v>415</v>
      </c>
      <c r="G81" t="str">
        <f t="shared" si="6"/>
        <v>NA</v>
      </c>
      <c r="H81" t="str">
        <f t="shared" si="7"/>
        <v/>
      </c>
      <c r="J81" t="str">
        <f t="shared" si="8"/>
        <v>Transport/Operation</v>
      </c>
      <c r="K81" s="9" t="s">
        <v>355</v>
      </c>
      <c r="L81" s="9" t="s">
        <v>424</v>
      </c>
      <c r="M81" t="s">
        <v>439</v>
      </c>
      <c r="N81" t="s">
        <v>243</v>
      </c>
      <c r="O81" t="str">
        <f t="shared" si="9"/>
        <v>Manual</v>
      </c>
      <c r="P81">
        <v>0</v>
      </c>
      <c r="Q81">
        <v>999999999</v>
      </c>
      <c r="R81">
        <v>0</v>
      </c>
      <c r="T81">
        <v>0</v>
      </c>
      <c r="U81">
        <v>0</v>
      </c>
      <c r="V81" t="s">
        <v>301</v>
      </c>
      <c r="W81" t="str">
        <f t="shared" si="10"/>
        <v>ITEM</v>
      </c>
      <c r="X81" t="s">
        <v>425</v>
      </c>
      <c r="Y81" t="s">
        <v>425</v>
      </c>
      <c r="Z81" t="s">
        <v>233</v>
      </c>
      <c r="AA81" t="s">
        <v>437</v>
      </c>
      <c r="AB81" t="s">
        <v>244</v>
      </c>
      <c r="AU81" t="str">
        <f t="shared" si="11"/>
        <v>No</v>
      </c>
    </row>
    <row r="82" spans="1:47" x14ac:dyDescent="0.25">
      <c r="A82" t="s">
        <v>666</v>
      </c>
      <c r="B82" t="s">
        <v>356</v>
      </c>
      <c r="D82">
        <v>3700</v>
      </c>
      <c r="E82" t="s">
        <v>441</v>
      </c>
      <c r="G82" t="str">
        <f t="shared" si="6"/>
        <v>NA</v>
      </c>
      <c r="H82" t="str">
        <f t="shared" si="7"/>
        <v/>
      </c>
      <c r="J82" t="str">
        <f t="shared" si="8"/>
        <v>Transport/Operation</v>
      </c>
      <c r="K82" s="9" t="s">
        <v>355</v>
      </c>
      <c r="L82" s="9" t="s">
        <v>424</v>
      </c>
      <c r="M82" t="s">
        <v>439</v>
      </c>
      <c r="N82" t="s">
        <v>243</v>
      </c>
      <c r="O82" t="str">
        <f t="shared" si="9"/>
        <v>Manual</v>
      </c>
      <c r="P82">
        <v>0</v>
      </c>
      <c r="Q82">
        <v>999999999</v>
      </c>
      <c r="R82">
        <v>0</v>
      </c>
      <c r="T82">
        <v>0</v>
      </c>
      <c r="U82">
        <v>0</v>
      </c>
      <c r="V82" t="s">
        <v>301</v>
      </c>
      <c r="W82" t="str">
        <f t="shared" si="10"/>
        <v>ITEM</v>
      </c>
      <c r="X82" t="s">
        <v>425</v>
      </c>
      <c r="Y82" t="s">
        <v>425</v>
      </c>
      <c r="Z82" t="s">
        <v>233</v>
      </c>
      <c r="AA82" t="s">
        <v>437</v>
      </c>
      <c r="AB82" t="s">
        <v>244</v>
      </c>
      <c r="AU82" t="str">
        <f t="shared" si="11"/>
        <v>No</v>
      </c>
    </row>
    <row r="83" spans="1:47" x14ac:dyDescent="0.25">
      <c r="A83" t="s">
        <v>666</v>
      </c>
      <c r="B83" t="s">
        <v>356</v>
      </c>
      <c r="D83">
        <v>3700</v>
      </c>
      <c r="E83" t="s">
        <v>442</v>
      </c>
      <c r="G83" t="str">
        <f t="shared" si="6"/>
        <v>NA</v>
      </c>
      <c r="H83" t="str">
        <f t="shared" si="7"/>
        <v/>
      </c>
      <c r="J83" t="str">
        <f t="shared" si="8"/>
        <v>Transport/Operation</v>
      </c>
      <c r="K83" s="9" t="s">
        <v>355</v>
      </c>
      <c r="L83" s="9" t="s">
        <v>424</v>
      </c>
      <c r="M83" t="s">
        <v>439</v>
      </c>
      <c r="N83" t="s">
        <v>243</v>
      </c>
      <c r="O83" t="str">
        <f t="shared" si="9"/>
        <v>Manual</v>
      </c>
      <c r="P83">
        <v>0</v>
      </c>
      <c r="Q83">
        <v>999999999</v>
      </c>
      <c r="R83">
        <v>0</v>
      </c>
      <c r="T83">
        <v>0</v>
      </c>
      <c r="U83">
        <v>0</v>
      </c>
      <c r="V83" t="s">
        <v>301</v>
      </c>
      <c r="W83" t="str">
        <f t="shared" si="10"/>
        <v>ITEM</v>
      </c>
      <c r="X83" t="s">
        <v>425</v>
      </c>
      <c r="Y83" t="s">
        <v>425</v>
      </c>
      <c r="Z83" t="s">
        <v>233</v>
      </c>
      <c r="AA83" t="s">
        <v>437</v>
      </c>
      <c r="AB83" t="s">
        <v>244</v>
      </c>
      <c r="AU83" t="str">
        <f t="shared" si="11"/>
        <v>No</v>
      </c>
    </row>
    <row r="84" spans="1:47" x14ac:dyDescent="0.25">
      <c r="A84" t="s">
        <v>666</v>
      </c>
      <c r="B84" t="s">
        <v>356</v>
      </c>
      <c r="D84">
        <v>3700</v>
      </c>
      <c r="E84" t="s">
        <v>443</v>
      </c>
      <c r="G84" t="str">
        <f t="shared" si="6"/>
        <v>NA</v>
      </c>
      <c r="H84" t="str">
        <f t="shared" si="7"/>
        <v/>
      </c>
      <c r="J84" t="str">
        <f t="shared" si="8"/>
        <v>Transport/Operation</v>
      </c>
      <c r="K84" s="9" t="s">
        <v>355</v>
      </c>
      <c r="L84" s="9" t="s">
        <v>424</v>
      </c>
      <c r="M84" t="s">
        <v>439</v>
      </c>
      <c r="N84" t="s">
        <v>243</v>
      </c>
      <c r="O84" t="str">
        <f t="shared" si="9"/>
        <v>Manual</v>
      </c>
      <c r="P84">
        <v>0</v>
      </c>
      <c r="Q84">
        <v>999999999</v>
      </c>
      <c r="R84">
        <v>0</v>
      </c>
      <c r="T84">
        <v>0</v>
      </c>
      <c r="U84">
        <v>0</v>
      </c>
      <c r="V84" t="s">
        <v>301</v>
      </c>
      <c r="W84" t="str">
        <f t="shared" si="10"/>
        <v>ITEM</v>
      </c>
      <c r="X84" t="s">
        <v>425</v>
      </c>
      <c r="Y84" t="s">
        <v>425</v>
      </c>
      <c r="Z84" t="s">
        <v>233</v>
      </c>
      <c r="AA84" t="s">
        <v>437</v>
      </c>
      <c r="AB84" t="s">
        <v>244</v>
      </c>
      <c r="AU84" t="str">
        <f t="shared" si="11"/>
        <v>No</v>
      </c>
    </row>
    <row r="85" spans="1:47" x14ac:dyDescent="0.25">
      <c r="A85" t="s">
        <v>666</v>
      </c>
      <c r="B85" t="s">
        <v>356</v>
      </c>
      <c r="D85">
        <v>3700</v>
      </c>
      <c r="E85" t="s">
        <v>416</v>
      </c>
      <c r="G85" t="str">
        <f t="shared" si="6"/>
        <v>NA</v>
      </c>
      <c r="H85" t="str">
        <f t="shared" si="7"/>
        <v/>
      </c>
      <c r="J85" t="str">
        <f t="shared" si="8"/>
        <v>Transport/Operation</v>
      </c>
      <c r="K85" s="9" t="s">
        <v>355</v>
      </c>
      <c r="L85" s="9" t="s">
        <v>424</v>
      </c>
      <c r="M85" t="s">
        <v>439</v>
      </c>
      <c r="N85" t="s">
        <v>243</v>
      </c>
      <c r="O85" t="str">
        <f t="shared" si="9"/>
        <v>Manual</v>
      </c>
      <c r="P85">
        <v>0</v>
      </c>
      <c r="Q85">
        <v>999999999</v>
      </c>
      <c r="R85">
        <v>0</v>
      </c>
      <c r="T85">
        <v>0</v>
      </c>
      <c r="U85">
        <v>0</v>
      </c>
      <c r="V85" t="s">
        <v>301</v>
      </c>
      <c r="W85" t="str">
        <f t="shared" si="10"/>
        <v>ITEM</v>
      </c>
      <c r="X85" t="s">
        <v>425</v>
      </c>
      <c r="Y85" t="s">
        <v>425</v>
      </c>
      <c r="Z85" t="s">
        <v>233</v>
      </c>
      <c r="AA85" t="s">
        <v>437</v>
      </c>
      <c r="AB85" t="s">
        <v>244</v>
      </c>
      <c r="AU85" t="str">
        <f t="shared" si="11"/>
        <v>No</v>
      </c>
    </row>
    <row r="86" spans="1:47" x14ac:dyDescent="0.25">
      <c r="A86" t="s">
        <v>666</v>
      </c>
      <c r="B86" t="s">
        <v>356</v>
      </c>
      <c r="D86">
        <v>3700</v>
      </c>
      <c r="E86" t="s">
        <v>417</v>
      </c>
      <c r="G86" t="str">
        <f t="shared" si="6"/>
        <v>NA</v>
      </c>
      <c r="H86" t="str">
        <f t="shared" si="7"/>
        <v/>
      </c>
      <c r="J86" t="str">
        <f t="shared" si="8"/>
        <v>Transport/Operation</v>
      </c>
      <c r="K86" s="9" t="s">
        <v>355</v>
      </c>
      <c r="L86" s="9" t="s">
        <v>424</v>
      </c>
      <c r="M86" t="s">
        <v>439</v>
      </c>
      <c r="N86" t="s">
        <v>243</v>
      </c>
      <c r="O86" t="str">
        <f t="shared" si="9"/>
        <v>Manual</v>
      </c>
      <c r="P86">
        <v>0</v>
      </c>
      <c r="Q86">
        <v>999999999</v>
      </c>
      <c r="R86">
        <v>0</v>
      </c>
      <c r="T86">
        <v>0</v>
      </c>
      <c r="U86">
        <v>0</v>
      </c>
      <c r="V86" t="s">
        <v>301</v>
      </c>
      <c r="W86" t="str">
        <f t="shared" si="10"/>
        <v>ITEM</v>
      </c>
      <c r="X86" t="s">
        <v>425</v>
      </c>
      <c r="Y86" t="s">
        <v>425</v>
      </c>
      <c r="Z86" t="s">
        <v>233</v>
      </c>
      <c r="AA86" t="s">
        <v>437</v>
      </c>
      <c r="AB86" t="s">
        <v>244</v>
      </c>
      <c r="AU86" t="str">
        <f t="shared" si="11"/>
        <v>No</v>
      </c>
    </row>
    <row r="87" spans="1:47" x14ac:dyDescent="0.25">
      <c r="A87" t="s">
        <v>666</v>
      </c>
      <c r="B87" t="s">
        <v>356</v>
      </c>
      <c r="D87">
        <v>3700</v>
      </c>
      <c r="E87" t="s">
        <v>418</v>
      </c>
      <c r="G87" t="str">
        <f t="shared" si="6"/>
        <v>NA</v>
      </c>
      <c r="H87" t="str">
        <f t="shared" si="7"/>
        <v/>
      </c>
      <c r="J87" t="str">
        <f t="shared" si="8"/>
        <v>Transport/Operation</v>
      </c>
      <c r="K87" s="9" t="s">
        <v>355</v>
      </c>
      <c r="L87" s="9" t="s">
        <v>424</v>
      </c>
      <c r="M87" t="s">
        <v>439</v>
      </c>
      <c r="N87" t="s">
        <v>243</v>
      </c>
      <c r="O87" t="str">
        <f t="shared" si="9"/>
        <v>Manual</v>
      </c>
      <c r="P87">
        <v>0</v>
      </c>
      <c r="Q87">
        <v>999999999</v>
      </c>
      <c r="R87">
        <v>0</v>
      </c>
      <c r="T87">
        <v>0</v>
      </c>
      <c r="U87">
        <v>0</v>
      </c>
      <c r="V87" t="s">
        <v>301</v>
      </c>
      <c r="W87" t="str">
        <f t="shared" si="10"/>
        <v>ITEM</v>
      </c>
      <c r="X87" t="s">
        <v>425</v>
      </c>
      <c r="Y87" t="s">
        <v>425</v>
      </c>
      <c r="Z87" t="s">
        <v>233</v>
      </c>
      <c r="AA87" t="s">
        <v>437</v>
      </c>
      <c r="AB87" t="s">
        <v>244</v>
      </c>
      <c r="AU87" t="str">
        <f t="shared" si="11"/>
        <v>No</v>
      </c>
    </row>
    <row r="88" spans="1:47" x14ac:dyDescent="0.25">
      <c r="A88" t="s">
        <v>666</v>
      </c>
      <c r="B88" t="s">
        <v>356</v>
      </c>
      <c r="D88">
        <v>3700</v>
      </c>
      <c r="E88" t="s">
        <v>419</v>
      </c>
      <c r="G88" t="str">
        <f t="shared" si="6"/>
        <v>NA</v>
      </c>
      <c r="H88" t="str">
        <f t="shared" si="7"/>
        <v/>
      </c>
      <c r="J88" t="str">
        <f t="shared" si="8"/>
        <v>Transport/Operation</v>
      </c>
      <c r="K88" s="9" t="s">
        <v>355</v>
      </c>
      <c r="L88" s="9" t="s">
        <v>424</v>
      </c>
      <c r="M88" t="s">
        <v>439</v>
      </c>
      <c r="N88" t="s">
        <v>243</v>
      </c>
      <c r="O88" t="str">
        <f t="shared" si="9"/>
        <v>Manual</v>
      </c>
      <c r="P88">
        <v>0</v>
      </c>
      <c r="Q88">
        <v>999999999</v>
      </c>
      <c r="R88">
        <v>0</v>
      </c>
      <c r="T88">
        <v>0</v>
      </c>
      <c r="U88">
        <v>0</v>
      </c>
      <c r="V88" t="s">
        <v>301</v>
      </c>
      <c r="W88" t="str">
        <f t="shared" si="10"/>
        <v>ITEM</v>
      </c>
      <c r="X88" t="s">
        <v>425</v>
      </c>
      <c r="Y88" t="s">
        <v>425</v>
      </c>
      <c r="Z88" t="s">
        <v>233</v>
      </c>
      <c r="AA88" t="s">
        <v>437</v>
      </c>
      <c r="AB88" t="s">
        <v>244</v>
      </c>
      <c r="AU88" t="str">
        <f t="shared" si="11"/>
        <v>No</v>
      </c>
    </row>
    <row r="89" spans="1:47" x14ac:dyDescent="0.25">
      <c r="A89" t="s">
        <v>666</v>
      </c>
      <c r="B89" t="s">
        <v>356</v>
      </c>
      <c r="D89">
        <v>3700</v>
      </c>
      <c r="E89" t="s">
        <v>420</v>
      </c>
      <c r="G89" t="str">
        <f t="shared" si="6"/>
        <v>NA</v>
      </c>
      <c r="H89" t="str">
        <f t="shared" si="7"/>
        <v/>
      </c>
      <c r="J89" t="str">
        <f t="shared" si="8"/>
        <v>Transport/Operation</v>
      </c>
      <c r="K89" s="9" t="s">
        <v>355</v>
      </c>
      <c r="L89" s="9" t="s">
        <v>424</v>
      </c>
      <c r="M89" t="s">
        <v>439</v>
      </c>
      <c r="N89" t="s">
        <v>243</v>
      </c>
      <c r="O89" t="str">
        <f t="shared" si="9"/>
        <v>Manual</v>
      </c>
      <c r="P89">
        <v>0</v>
      </c>
      <c r="Q89">
        <v>999999999</v>
      </c>
      <c r="R89">
        <v>0</v>
      </c>
      <c r="T89">
        <v>0</v>
      </c>
      <c r="U89">
        <v>0</v>
      </c>
      <c r="V89" t="s">
        <v>301</v>
      </c>
      <c r="W89" t="str">
        <f t="shared" si="10"/>
        <v>ITEM</v>
      </c>
      <c r="X89" t="s">
        <v>425</v>
      </c>
      <c r="Y89" t="s">
        <v>425</v>
      </c>
      <c r="Z89" t="s">
        <v>233</v>
      </c>
      <c r="AA89" t="s">
        <v>437</v>
      </c>
      <c r="AB89" t="s">
        <v>244</v>
      </c>
      <c r="AU89" t="str">
        <f t="shared" si="11"/>
        <v>No</v>
      </c>
    </row>
    <row r="90" spans="1:47" x14ac:dyDescent="0.25">
      <c r="A90" t="s">
        <v>666</v>
      </c>
      <c r="B90" t="s">
        <v>356</v>
      </c>
      <c r="D90">
        <v>3700</v>
      </c>
      <c r="E90" t="s">
        <v>421</v>
      </c>
      <c r="G90" t="str">
        <f t="shared" si="6"/>
        <v>NA</v>
      </c>
      <c r="H90" t="str">
        <f t="shared" si="7"/>
        <v/>
      </c>
      <c r="J90" t="str">
        <f t="shared" si="8"/>
        <v>Transport/Operation</v>
      </c>
      <c r="K90" s="9" t="s">
        <v>355</v>
      </c>
      <c r="L90" s="9" t="s">
        <v>424</v>
      </c>
      <c r="M90" t="s">
        <v>439</v>
      </c>
      <c r="N90" t="s">
        <v>243</v>
      </c>
      <c r="O90" t="str">
        <f t="shared" si="9"/>
        <v>Manual</v>
      </c>
      <c r="P90">
        <v>0</v>
      </c>
      <c r="Q90">
        <v>999999999</v>
      </c>
      <c r="R90">
        <v>0</v>
      </c>
      <c r="T90">
        <v>0</v>
      </c>
      <c r="U90">
        <v>0</v>
      </c>
      <c r="V90" t="s">
        <v>301</v>
      </c>
      <c r="W90" t="str">
        <f t="shared" si="10"/>
        <v>ITEM</v>
      </c>
      <c r="X90" t="s">
        <v>425</v>
      </c>
      <c r="Y90" t="s">
        <v>425</v>
      </c>
      <c r="Z90" t="s">
        <v>233</v>
      </c>
      <c r="AA90" t="s">
        <v>437</v>
      </c>
      <c r="AB90" t="s">
        <v>244</v>
      </c>
      <c r="AU90" t="str">
        <f t="shared" si="11"/>
        <v>No</v>
      </c>
    </row>
    <row r="91" spans="1:47" x14ac:dyDescent="0.25">
      <c r="A91" t="s">
        <v>666</v>
      </c>
      <c r="B91" t="s">
        <v>356</v>
      </c>
      <c r="D91">
        <v>3700</v>
      </c>
      <c r="E91" t="s">
        <v>422</v>
      </c>
      <c r="G91" t="str">
        <f t="shared" si="6"/>
        <v>NA</v>
      </c>
      <c r="H91" t="str">
        <f t="shared" si="7"/>
        <v/>
      </c>
      <c r="J91" t="str">
        <f t="shared" si="8"/>
        <v>Transport/Operation</v>
      </c>
      <c r="K91" s="9" t="s">
        <v>355</v>
      </c>
      <c r="L91" s="9" t="s">
        <v>424</v>
      </c>
      <c r="M91" t="s">
        <v>439</v>
      </c>
      <c r="N91" t="s">
        <v>243</v>
      </c>
      <c r="O91" t="str">
        <f t="shared" si="9"/>
        <v>Manual</v>
      </c>
      <c r="P91">
        <v>0</v>
      </c>
      <c r="Q91">
        <v>999999999</v>
      </c>
      <c r="R91">
        <v>0</v>
      </c>
      <c r="T91">
        <v>0</v>
      </c>
      <c r="U91">
        <v>0</v>
      </c>
      <c r="V91" t="s">
        <v>301</v>
      </c>
      <c r="W91" t="str">
        <f t="shared" si="10"/>
        <v>ITEM</v>
      </c>
      <c r="X91" t="s">
        <v>425</v>
      </c>
      <c r="Y91" t="s">
        <v>425</v>
      </c>
      <c r="Z91" t="s">
        <v>233</v>
      </c>
      <c r="AA91" t="s">
        <v>437</v>
      </c>
      <c r="AB91" t="s">
        <v>244</v>
      </c>
      <c r="AU91" t="str">
        <f t="shared" si="11"/>
        <v>No</v>
      </c>
    </row>
    <row r="92" spans="1:47" x14ac:dyDescent="0.25">
      <c r="A92" t="s">
        <v>666</v>
      </c>
      <c r="B92" t="s">
        <v>356</v>
      </c>
      <c r="D92">
        <v>3700</v>
      </c>
      <c r="E92" t="s">
        <v>456</v>
      </c>
      <c r="G92" t="str">
        <f t="shared" si="6"/>
        <v>NA</v>
      </c>
      <c r="H92" t="str">
        <f t="shared" si="7"/>
        <v/>
      </c>
      <c r="J92" t="str">
        <f t="shared" si="8"/>
        <v>Transport/Operation</v>
      </c>
      <c r="K92" s="9" t="s">
        <v>355</v>
      </c>
      <c r="L92" s="9" t="s">
        <v>424</v>
      </c>
      <c r="M92" t="s">
        <v>439</v>
      </c>
      <c r="N92" t="s">
        <v>243</v>
      </c>
      <c r="O92" t="str">
        <f t="shared" si="9"/>
        <v>Manual</v>
      </c>
      <c r="P92">
        <v>0</v>
      </c>
      <c r="Q92">
        <v>999999999</v>
      </c>
      <c r="R92">
        <v>0</v>
      </c>
      <c r="T92">
        <v>0</v>
      </c>
      <c r="U92">
        <v>0</v>
      </c>
      <c r="V92" t="s">
        <v>301</v>
      </c>
      <c r="W92" t="str">
        <f t="shared" si="10"/>
        <v>ITEM</v>
      </c>
      <c r="X92" t="s">
        <v>425</v>
      </c>
      <c r="Y92" t="s">
        <v>425</v>
      </c>
      <c r="Z92" t="s">
        <v>233</v>
      </c>
      <c r="AA92" t="s">
        <v>437</v>
      </c>
      <c r="AB92" t="s">
        <v>244</v>
      </c>
      <c r="AU92" t="str">
        <f t="shared" si="11"/>
        <v>No</v>
      </c>
    </row>
    <row r="93" spans="1:47" x14ac:dyDescent="0.25">
      <c r="A93" t="s">
        <v>666</v>
      </c>
      <c r="B93" t="s">
        <v>356</v>
      </c>
      <c r="D93">
        <v>3700</v>
      </c>
      <c r="E93" t="s">
        <v>470</v>
      </c>
      <c r="G93" t="str">
        <f t="shared" si="6"/>
        <v>NA</v>
      </c>
      <c r="H93" t="str">
        <f t="shared" si="7"/>
        <v/>
      </c>
      <c r="J93" t="str">
        <f t="shared" si="8"/>
        <v>Transport/Operation</v>
      </c>
      <c r="K93" s="9" t="s">
        <v>355</v>
      </c>
      <c r="L93" s="9" t="s">
        <v>424</v>
      </c>
      <c r="M93" t="s">
        <v>439</v>
      </c>
      <c r="N93" t="s">
        <v>243</v>
      </c>
      <c r="O93" t="str">
        <f t="shared" si="9"/>
        <v>Manual</v>
      </c>
      <c r="P93">
        <v>0</v>
      </c>
      <c r="Q93">
        <v>999999999</v>
      </c>
      <c r="R93">
        <v>0</v>
      </c>
      <c r="T93">
        <v>0</v>
      </c>
      <c r="U93">
        <v>0</v>
      </c>
      <c r="V93" t="s">
        <v>301</v>
      </c>
      <c r="W93" t="str">
        <f t="shared" si="10"/>
        <v>ITEM</v>
      </c>
      <c r="X93" t="s">
        <v>425</v>
      </c>
      <c r="Y93" t="s">
        <v>425</v>
      </c>
      <c r="Z93" t="s">
        <v>233</v>
      </c>
      <c r="AA93" t="s">
        <v>437</v>
      </c>
      <c r="AB93" t="s">
        <v>244</v>
      </c>
      <c r="AU93" t="str">
        <f t="shared" si="11"/>
        <v>No</v>
      </c>
    </row>
    <row r="94" spans="1:47" x14ac:dyDescent="0.25">
      <c r="A94" t="s">
        <v>666</v>
      </c>
      <c r="B94" t="s">
        <v>356</v>
      </c>
      <c r="D94">
        <v>3700</v>
      </c>
      <c r="E94" t="s">
        <v>464</v>
      </c>
      <c r="G94" t="str">
        <f t="shared" si="6"/>
        <v>NA</v>
      </c>
      <c r="H94" t="str">
        <f t="shared" si="7"/>
        <v/>
      </c>
      <c r="J94" t="str">
        <f t="shared" si="8"/>
        <v>Transport/Operation</v>
      </c>
      <c r="K94" s="9" t="s">
        <v>355</v>
      </c>
      <c r="L94" s="9" t="s">
        <v>424</v>
      </c>
      <c r="M94" t="s">
        <v>439</v>
      </c>
      <c r="N94" t="s">
        <v>243</v>
      </c>
      <c r="O94" t="str">
        <f t="shared" si="9"/>
        <v>Manual</v>
      </c>
      <c r="P94">
        <v>0</v>
      </c>
      <c r="Q94">
        <v>999999999</v>
      </c>
      <c r="R94">
        <v>0</v>
      </c>
      <c r="T94">
        <v>0</v>
      </c>
      <c r="U94">
        <v>0</v>
      </c>
      <c r="V94" t="s">
        <v>301</v>
      </c>
      <c r="W94" t="str">
        <f t="shared" si="10"/>
        <v>ITEM</v>
      </c>
      <c r="X94" t="s">
        <v>425</v>
      </c>
      <c r="Y94" t="s">
        <v>425</v>
      </c>
      <c r="Z94" t="s">
        <v>233</v>
      </c>
      <c r="AA94" t="s">
        <v>437</v>
      </c>
      <c r="AB94" t="s">
        <v>244</v>
      </c>
      <c r="AU94" t="str">
        <f t="shared" si="11"/>
        <v>No</v>
      </c>
    </row>
    <row r="95" spans="1:47" x14ac:dyDescent="0.25">
      <c r="A95" t="s">
        <v>666</v>
      </c>
      <c r="B95" t="s">
        <v>356</v>
      </c>
      <c r="D95">
        <v>3700</v>
      </c>
      <c r="E95" t="s">
        <v>423</v>
      </c>
      <c r="G95" t="str">
        <f t="shared" si="6"/>
        <v>NA</v>
      </c>
      <c r="H95" t="str">
        <f t="shared" si="7"/>
        <v/>
      </c>
      <c r="J95" t="str">
        <f t="shared" si="8"/>
        <v>Transport/Operation</v>
      </c>
      <c r="K95" s="9" t="s">
        <v>355</v>
      </c>
      <c r="L95" s="9" t="s">
        <v>424</v>
      </c>
      <c r="M95" t="s">
        <v>439</v>
      </c>
      <c r="N95" t="s">
        <v>243</v>
      </c>
      <c r="O95" t="str">
        <f t="shared" si="9"/>
        <v>Manual</v>
      </c>
      <c r="P95">
        <v>0</v>
      </c>
      <c r="Q95">
        <v>999999999</v>
      </c>
      <c r="R95">
        <v>0</v>
      </c>
      <c r="T95">
        <v>0</v>
      </c>
      <c r="U95">
        <v>0</v>
      </c>
      <c r="V95" t="s">
        <v>301</v>
      </c>
      <c r="W95" t="str">
        <f t="shared" si="10"/>
        <v>ITEM</v>
      </c>
      <c r="X95" t="s">
        <v>425</v>
      </c>
      <c r="Y95" t="s">
        <v>425</v>
      </c>
      <c r="Z95" t="s">
        <v>233</v>
      </c>
      <c r="AA95" t="s">
        <v>437</v>
      </c>
      <c r="AB95" t="s">
        <v>244</v>
      </c>
      <c r="AU95" t="str">
        <f t="shared" si="11"/>
        <v>No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95"/>
  <sheetViews>
    <sheetView topLeftCell="A70" workbookViewId="0">
      <selection activeCell="AD2" sqref="A2:AD95"/>
    </sheetView>
  </sheetViews>
  <sheetFormatPr defaultRowHeight="15" x14ac:dyDescent="0.25"/>
  <sheetData>
    <row r="1" spans="1:30" x14ac:dyDescent="0.25">
      <c r="A1" t="s">
        <v>235</v>
      </c>
      <c r="B1" t="s">
        <v>198</v>
      </c>
      <c r="C1" s="9" t="s">
        <v>345</v>
      </c>
      <c r="D1" t="s">
        <v>342</v>
      </c>
      <c r="E1" t="s">
        <v>7</v>
      </c>
      <c r="F1" t="s">
        <v>9</v>
      </c>
      <c r="G1" t="s">
        <v>236</v>
      </c>
      <c r="H1" t="s">
        <v>237</v>
      </c>
      <c r="I1" t="s">
        <v>238</v>
      </c>
      <c r="J1" t="s">
        <v>239</v>
      </c>
      <c r="K1" t="s">
        <v>15</v>
      </c>
      <c r="L1" t="s">
        <v>240</v>
      </c>
      <c r="M1" t="s">
        <v>298</v>
      </c>
      <c r="N1" t="s">
        <v>241</v>
      </c>
      <c r="O1" t="s">
        <v>344</v>
      </c>
      <c r="P1" s="6" t="s">
        <v>284</v>
      </c>
      <c r="Q1" s="6" t="s">
        <v>285</v>
      </c>
      <c r="R1" s="6" t="s">
        <v>287</v>
      </c>
      <c r="S1" s="6" t="s">
        <v>288</v>
      </c>
      <c r="T1" s="6" t="s">
        <v>289</v>
      </c>
      <c r="U1" s="6" t="s">
        <v>290</v>
      </c>
      <c r="V1" s="6" t="s">
        <v>286</v>
      </c>
      <c r="W1" s="7" t="s">
        <v>291</v>
      </c>
      <c r="X1" s="7" t="s">
        <v>292</v>
      </c>
      <c r="Y1" s="7" t="s">
        <v>294</v>
      </c>
      <c r="Z1" s="7" t="s">
        <v>295</v>
      </c>
      <c r="AA1" s="7" t="s">
        <v>296</v>
      </c>
      <c r="AB1" s="7" t="s">
        <v>297</v>
      </c>
      <c r="AC1" s="7" t="s">
        <v>293</v>
      </c>
      <c r="AD1" s="8" t="s">
        <v>329</v>
      </c>
    </row>
    <row r="2" spans="1:30" x14ac:dyDescent="0.25">
      <c r="A2">
        <v>3600</v>
      </c>
      <c r="B2" t="s">
        <v>360</v>
      </c>
      <c r="C2" s="9" t="s">
        <v>473</v>
      </c>
      <c r="D2" t="s">
        <v>324</v>
      </c>
      <c r="E2" t="s">
        <v>243</v>
      </c>
      <c r="F2">
        <v>0</v>
      </c>
      <c r="G2">
        <v>999999999</v>
      </c>
      <c r="H2">
        <v>3.59</v>
      </c>
      <c r="I2">
        <v>0</v>
      </c>
      <c r="J2">
        <v>0</v>
      </c>
      <c r="K2" t="s">
        <v>244</v>
      </c>
      <c r="L2" t="s">
        <v>425</v>
      </c>
      <c r="M2" t="s">
        <v>244</v>
      </c>
      <c r="O2" t="s">
        <v>244</v>
      </c>
      <c r="P2">
        <v>0</v>
      </c>
      <c r="Q2">
        <v>0</v>
      </c>
      <c r="R2">
        <v>0</v>
      </c>
      <c r="S2">
        <v>0</v>
      </c>
      <c r="T2" t="s">
        <v>244</v>
      </c>
      <c r="U2" t="s">
        <v>244</v>
      </c>
      <c r="V2">
        <v>0</v>
      </c>
      <c r="W2">
        <v>0</v>
      </c>
      <c r="X2">
        <v>999999999</v>
      </c>
      <c r="Y2">
        <v>0</v>
      </c>
      <c r="Z2">
        <v>0</v>
      </c>
      <c r="AA2" t="s">
        <v>244</v>
      </c>
      <c r="AB2" t="s">
        <v>244</v>
      </c>
      <c r="AC2">
        <v>0</v>
      </c>
    </row>
    <row r="3" spans="1:30" x14ac:dyDescent="0.25">
      <c r="A3">
        <v>3600</v>
      </c>
      <c r="B3" t="s">
        <v>361</v>
      </c>
      <c r="C3" s="9" t="s">
        <v>473</v>
      </c>
      <c r="D3" t="s">
        <v>324</v>
      </c>
      <c r="E3" t="s">
        <v>243</v>
      </c>
      <c r="F3">
        <v>0</v>
      </c>
      <c r="G3">
        <v>999999999</v>
      </c>
      <c r="H3">
        <v>3.59</v>
      </c>
      <c r="I3">
        <v>0</v>
      </c>
      <c r="J3">
        <v>0</v>
      </c>
      <c r="K3" t="s">
        <v>244</v>
      </c>
      <c r="L3" t="s">
        <v>425</v>
      </c>
      <c r="M3" t="s">
        <v>425</v>
      </c>
      <c r="O3" t="s">
        <v>244</v>
      </c>
      <c r="P3">
        <v>0</v>
      </c>
      <c r="Q3">
        <v>0</v>
      </c>
      <c r="R3">
        <v>0</v>
      </c>
      <c r="S3">
        <v>0</v>
      </c>
      <c r="T3" t="s">
        <v>244</v>
      </c>
      <c r="U3" t="s">
        <v>244</v>
      </c>
      <c r="V3">
        <v>0</v>
      </c>
      <c r="W3">
        <v>0</v>
      </c>
      <c r="X3">
        <v>999999999</v>
      </c>
      <c r="Y3">
        <v>0</v>
      </c>
      <c r="Z3">
        <v>0</v>
      </c>
      <c r="AA3" t="s">
        <v>244</v>
      </c>
      <c r="AB3" t="s">
        <v>244</v>
      </c>
      <c r="AC3">
        <v>0</v>
      </c>
    </row>
    <row r="4" spans="1:30" x14ac:dyDescent="0.25">
      <c r="A4">
        <v>3640</v>
      </c>
      <c r="B4" t="s">
        <v>362</v>
      </c>
      <c r="C4" s="9" t="s">
        <v>473</v>
      </c>
      <c r="D4" t="s">
        <v>325</v>
      </c>
      <c r="E4" t="s">
        <v>243</v>
      </c>
      <c r="F4">
        <v>0</v>
      </c>
      <c r="G4">
        <v>42000</v>
      </c>
      <c r="H4" s="13">
        <v>102.63</v>
      </c>
      <c r="I4">
        <v>0</v>
      </c>
      <c r="J4">
        <v>0</v>
      </c>
      <c r="K4" t="s">
        <v>244</v>
      </c>
      <c r="L4" t="s">
        <v>425</v>
      </c>
      <c r="M4" t="s">
        <v>426</v>
      </c>
      <c r="O4" t="s">
        <v>244</v>
      </c>
      <c r="P4">
        <v>42001</v>
      </c>
      <c r="Q4">
        <v>64000</v>
      </c>
      <c r="R4">
        <v>0</v>
      </c>
      <c r="S4">
        <v>0</v>
      </c>
      <c r="T4" t="s">
        <v>244</v>
      </c>
      <c r="U4" t="s">
        <v>244</v>
      </c>
      <c r="V4">
        <v>153.94999999999999</v>
      </c>
      <c r="W4">
        <v>64001</v>
      </c>
      <c r="X4">
        <v>999999999</v>
      </c>
      <c r="Y4">
        <v>0</v>
      </c>
      <c r="Z4">
        <v>0</v>
      </c>
      <c r="AA4" t="s">
        <v>244</v>
      </c>
      <c r="AB4" t="s">
        <v>244</v>
      </c>
      <c r="AC4">
        <v>205.27</v>
      </c>
    </row>
    <row r="5" spans="1:30" x14ac:dyDescent="0.25">
      <c r="A5">
        <v>4400</v>
      </c>
      <c r="B5" t="s">
        <v>444</v>
      </c>
      <c r="C5" s="9" t="s">
        <v>473</v>
      </c>
      <c r="D5" t="s">
        <v>321</v>
      </c>
      <c r="E5" t="s">
        <v>243</v>
      </c>
      <c r="F5">
        <v>0</v>
      </c>
      <c r="G5">
        <v>999999999</v>
      </c>
      <c r="H5">
        <v>51.32</v>
      </c>
      <c r="I5">
        <v>0</v>
      </c>
      <c r="J5">
        <v>0</v>
      </c>
      <c r="K5" t="s">
        <v>244</v>
      </c>
      <c r="L5" t="s">
        <v>425</v>
      </c>
      <c r="M5" t="s">
        <v>425</v>
      </c>
      <c r="O5" t="s">
        <v>244</v>
      </c>
      <c r="P5">
        <v>0</v>
      </c>
      <c r="Q5">
        <v>0</v>
      </c>
      <c r="R5">
        <v>0</v>
      </c>
      <c r="S5">
        <v>0</v>
      </c>
      <c r="T5" t="s">
        <v>244</v>
      </c>
      <c r="U5" t="s">
        <v>244</v>
      </c>
      <c r="V5">
        <v>0</v>
      </c>
      <c r="W5">
        <v>0</v>
      </c>
      <c r="X5">
        <v>999999999</v>
      </c>
      <c r="Y5">
        <v>0</v>
      </c>
      <c r="Z5">
        <v>0</v>
      </c>
      <c r="AA5" t="s">
        <v>244</v>
      </c>
      <c r="AB5" t="s">
        <v>244</v>
      </c>
      <c r="AC5">
        <v>0</v>
      </c>
    </row>
    <row r="6" spans="1:30" x14ac:dyDescent="0.25">
      <c r="A6">
        <v>3600</v>
      </c>
      <c r="B6" t="s">
        <v>363</v>
      </c>
      <c r="C6" s="9" t="s">
        <v>473</v>
      </c>
      <c r="D6" t="s">
        <v>324</v>
      </c>
      <c r="E6" t="s">
        <v>243</v>
      </c>
      <c r="F6">
        <v>0</v>
      </c>
      <c r="G6">
        <v>999999999</v>
      </c>
      <c r="H6">
        <v>3.6</v>
      </c>
      <c r="I6">
        <v>0</v>
      </c>
      <c r="J6">
        <v>0</v>
      </c>
      <c r="K6" t="s">
        <v>244</v>
      </c>
      <c r="L6" t="s">
        <v>425</v>
      </c>
      <c r="M6" t="s">
        <v>425</v>
      </c>
      <c r="O6" t="s">
        <v>244</v>
      </c>
      <c r="P6">
        <v>0</v>
      </c>
      <c r="Q6">
        <v>0</v>
      </c>
      <c r="R6">
        <v>0</v>
      </c>
      <c r="S6">
        <v>0</v>
      </c>
      <c r="T6" t="s">
        <v>244</v>
      </c>
      <c r="U6" t="s">
        <v>244</v>
      </c>
      <c r="V6">
        <v>0</v>
      </c>
      <c r="W6">
        <v>0</v>
      </c>
      <c r="X6">
        <v>999999999</v>
      </c>
      <c r="Y6">
        <v>0</v>
      </c>
      <c r="Z6">
        <v>0</v>
      </c>
      <c r="AA6" t="s">
        <v>244</v>
      </c>
      <c r="AB6" t="s">
        <v>244</v>
      </c>
      <c r="AC6">
        <v>0</v>
      </c>
    </row>
    <row r="7" spans="1:30" x14ac:dyDescent="0.25">
      <c r="A7">
        <v>3801</v>
      </c>
      <c r="B7" t="s">
        <v>364</v>
      </c>
      <c r="C7" s="9" t="s">
        <v>473</v>
      </c>
      <c r="D7" t="s">
        <v>319</v>
      </c>
      <c r="E7" t="s">
        <v>243</v>
      </c>
      <c r="F7">
        <v>0</v>
      </c>
      <c r="G7">
        <v>999999999</v>
      </c>
      <c r="H7">
        <v>36.200000000000003</v>
      </c>
      <c r="I7">
        <v>0</v>
      </c>
      <c r="J7">
        <v>0</v>
      </c>
      <c r="K7" t="s">
        <v>244</v>
      </c>
      <c r="L7" t="s">
        <v>425</v>
      </c>
      <c r="M7" t="s">
        <v>425</v>
      </c>
      <c r="O7" t="s">
        <v>244</v>
      </c>
      <c r="P7">
        <v>0</v>
      </c>
      <c r="Q7">
        <v>0</v>
      </c>
      <c r="R7">
        <v>0</v>
      </c>
      <c r="S7">
        <v>0</v>
      </c>
      <c r="T7" t="s">
        <v>244</v>
      </c>
      <c r="U7" t="s">
        <v>244</v>
      </c>
      <c r="V7">
        <v>0</v>
      </c>
      <c r="W7">
        <v>0</v>
      </c>
      <c r="X7">
        <v>999999999</v>
      </c>
      <c r="Y7">
        <v>0</v>
      </c>
      <c r="Z7">
        <v>0</v>
      </c>
      <c r="AA7" t="s">
        <v>244</v>
      </c>
      <c r="AB7" t="s">
        <v>244</v>
      </c>
      <c r="AC7">
        <v>0</v>
      </c>
    </row>
    <row r="8" spans="1:30" x14ac:dyDescent="0.25">
      <c r="A8">
        <v>3801</v>
      </c>
      <c r="B8" t="s">
        <v>365</v>
      </c>
      <c r="C8" s="9" t="s">
        <v>473</v>
      </c>
      <c r="D8" t="s">
        <v>319</v>
      </c>
      <c r="E8" t="s">
        <v>243</v>
      </c>
      <c r="F8">
        <v>0</v>
      </c>
      <c r="G8">
        <v>999999999</v>
      </c>
      <c r="H8">
        <v>36.200000000000003</v>
      </c>
      <c r="I8">
        <v>0</v>
      </c>
      <c r="J8">
        <v>0</v>
      </c>
      <c r="K8" t="s">
        <v>244</v>
      </c>
      <c r="L8" t="s">
        <v>425</v>
      </c>
      <c r="M8" t="s">
        <v>425</v>
      </c>
      <c r="O8" t="s">
        <v>244</v>
      </c>
      <c r="P8">
        <v>0</v>
      </c>
      <c r="Q8">
        <v>0</v>
      </c>
      <c r="R8">
        <v>0</v>
      </c>
      <c r="S8">
        <v>0</v>
      </c>
      <c r="T8" t="s">
        <v>244</v>
      </c>
      <c r="U8" t="s">
        <v>244</v>
      </c>
      <c r="V8">
        <v>0</v>
      </c>
      <c r="W8">
        <v>0</v>
      </c>
      <c r="X8">
        <v>999999999</v>
      </c>
      <c r="Y8">
        <v>0</v>
      </c>
      <c r="Z8">
        <v>0</v>
      </c>
      <c r="AA8" t="s">
        <v>244</v>
      </c>
      <c r="AB8" t="s">
        <v>244</v>
      </c>
      <c r="AC8">
        <v>0</v>
      </c>
    </row>
    <row r="9" spans="1:30" x14ac:dyDescent="0.25">
      <c r="A9">
        <v>3794</v>
      </c>
      <c r="B9" t="s">
        <v>366</v>
      </c>
      <c r="C9" s="9" t="s">
        <v>473</v>
      </c>
      <c r="D9" t="s">
        <v>319</v>
      </c>
      <c r="E9" t="s">
        <v>243</v>
      </c>
      <c r="F9">
        <v>0</v>
      </c>
      <c r="G9">
        <v>999999999</v>
      </c>
      <c r="H9">
        <v>31.67</v>
      </c>
      <c r="I9">
        <v>0</v>
      </c>
      <c r="J9">
        <v>0</v>
      </c>
      <c r="K9" t="s">
        <v>244</v>
      </c>
      <c r="L9" t="s">
        <v>425</v>
      </c>
      <c r="M9" t="s">
        <v>425</v>
      </c>
      <c r="O9" t="s">
        <v>244</v>
      </c>
      <c r="P9">
        <v>0</v>
      </c>
      <c r="Q9">
        <v>0</v>
      </c>
      <c r="R9">
        <v>0</v>
      </c>
      <c r="S9">
        <v>0</v>
      </c>
      <c r="T9" t="s">
        <v>244</v>
      </c>
      <c r="U9" t="s">
        <v>244</v>
      </c>
      <c r="V9">
        <v>0</v>
      </c>
      <c r="W9">
        <v>0</v>
      </c>
      <c r="X9">
        <v>999999999</v>
      </c>
      <c r="Y9">
        <v>0</v>
      </c>
      <c r="Z9">
        <v>0</v>
      </c>
      <c r="AA9" t="s">
        <v>244</v>
      </c>
      <c r="AB9" t="s">
        <v>244</v>
      </c>
      <c r="AC9">
        <v>0</v>
      </c>
    </row>
    <row r="10" spans="1:30" x14ac:dyDescent="0.25">
      <c r="A10">
        <v>3803</v>
      </c>
      <c r="B10" t="s">
        <v>477</v>
      </c>
      <c r="C10" s="9" t="s">
        <v>473</v>
      </c>
      <c r="D10" t="s">
        <v>310</v>
      </c>
      <c r="E10" t="s">
        <v>243</v>
      </c>
      <c r="F10">
        <v>0</v>
      </c>
      <c r="G10">
        <v>999999999</v>
      </c>
      <c r="H10">
        <v>50.68</v>
      </c>
      <c r="I10">
        <v>0</v>
      </c>
      <c r="J10">
        <v>0</v>
      </c>
      <c r="K10" t="s">
        <v>301</v>
      </c>
      <c r="L10" t="s">
        <v>301</v>
      </c>
      <c r="M10" t="s">
        <v>425</v>
      </c>
      <c r="O10" t="s">
        <v>301</v>
      </c>
      <c r="P10">
        <v>0</v>
      </c>
      <c r="Q10">
        <v>0</v>
      </c>
      <c r="R10">
        <v>0</v>
      </c>
      <c r="S10">
        <v>0</v>
      </c>
      <c r="T10" t="s">
        <v>244</v>
      </c>
      <c r="U10" t="s">
        <v>244</v>
      </c>
      <c r="V10">
        <v>0</v>
      </c>
      <c r="W10">
        <v>0</v>
      </c>
      <c r="X10">
        <v>999999999</v>
      </c>
      <c r="Y10">
        <v>0</v>
      </c>
      <c r="Z10">
        <v>0</v>
      </c>
      <c r="AA10" t="s">
        <v>244</v>
      </c>
      <c r="AB10" t="s">
        <v>244</v>
      </c>
      <c r="AC10">
        <v>0</v>
      </c>
      <c r="AD10" t="s">
        <v>426</v>
      </c>
    </row>
    <row r="11" spans="1:30" x14ac:dyDescent="0.25">
      <c r="A11">
        <v>3802</v>
      </c>
      <c r="B11" t="s">
        <v>368</v>
      </c>
      <c r="C11" s="9" t="s">
        <v>473</v>
      </c>
      <c r="D11" t="s">
        <v>319</v>
      </c>
      <c r="E11" t="s">
        <v>243</v>
      </c>
      <c r="F11">
        <v>0</v>
      </c>
      <c r="G11">
        <v>999999999</v>
      </c>
      <c r="H11">
        <v>36.200000000000003</v>
      </c>
      <c r="I11">
        <v>0</v>
      </c>
      <c r="J11">
        <v>0</v>
      </c>
      <c r="K11" t="s">
        <v>244</v>
      </c>
      <c r="L11" t="s">
        <v>425</v>
      </c>
      <c r="M11" t="s">
        <v>425</v>
      </c>
      <c r="O11" t="s">
        <v>244</v>
      </c>
      <c r="P11">
        <v>0</v>
      </c>
      <c r="Q11">
        <v>0</v>
      </c>
      <c r="R11">
        <v>0</v>
      </c>
      <c r="S11">
        <v>0</v>
      </c>
      <c r="T11" t="s">
        <v>244</v>
      </c>
      <c r="U11" t="s">
        <v>244</v>
      </c>
      <c r="V11">
        <v>0</v>
      </c>
      <c r="W11">
        <v>0</v>
      </c>
      <c r="X11">
        <v>999999999</v>
      </c>
      <c r="Y11">
        <v>0</v>
      </c>
      <c r="Z11">
        <v>0</v>
      </c>
      <c r="AA11" t="s">
        <v>244</v>
      </c>
      <c r="AB11" t="s">
        <v>244</v>
      </c>
      <c r="AC11">
        <v>0</v>
      </c>
    </row>
    <row r="12" spans="1:30" x14ac:dyDescent="0.25">
      <c r="A12">
        <v>3801</v>
      </c>
      <c r="B12" t="s">
        <v>369</v>
      </c>
      <c r="C12" s="9" t="s">
        <v>473</v>
      </c>
      <c r="D12" t="s">
        <v>319</v>
      </c>
      <c r="E12" t="s">
        <v>243</v>
      </c>
      <c r="F12">
        <v>0</v>
      </c>
      <c r="G12">
        <v>999999999</v>
      </c>
      <c r="H12">
        <v>31.82</v>
      </c>
      <c r="I12">
        <v>0</v>
      </c>
      <c r="J12">
        <v>0</v>
      </c>
      <c r="K12" t="s">
        <v>244</v>
      </c>
      <c r="L12" t="s">
        <v>425</v>
      </c>
      <c r="M12" t="s">
        <v>425</v>
      </c>
      <c r="O12" t="s">
        <v>244</v>
      </c>
      <c r="P12">
        <v>0</v>
      </c>
      <c r="Q12">
        <v>0</v>
      </c>
      <c r="R12">
        <v>0</v>
      </c>
      <c r="S12">
        <v>0</v>
      </c>
      <c r="T12" t="s">
        <v>244</v>
      </c>
      <c r="U12" t="s">
        <v>244</v>
      </c>
      <c r="V12">
        <v>0</v>
      </c>
      <c r="W12">
        <v>0</v>
      </c>
      <c r="X12">
        <v>999999999</v>
      </c>
      <c r="Y12">
        <v>0</v>
      </c>
      <c r="Z12">
        <v>0</v>
      </c>
      <c r="AA12" t="s">
        <v>244</v>
      </c>
      <c r="AB12" t="s">
        <v>244</v>
      </c>
      <c r="AC12">
        <v>0</v>
      </c>
    </row>
    <row r="13" spans="1:30" x14ac:dyDescent="0.25">
      <c r="A13">
        <v>3801</v>
      </c>
      <c r="B13" t="s">
        <v>370</v>
      </c>
      <c r="C13" s="9" t="s">
        <v>473</v>
      </c>
      <c r="D13" t="s">
        <v>325</v>
      </c>
      <c r="E13" t="s">
        <v>243</v>
      </c>
      <c r="F13">
        <v>0</v>
      </c>
      <c r="G13">
        <v>999999999</v>
      </c>
      <c r="H13">
        <v>307.89</v>
      </c>
      <c r="I13">
        <v>0</v>
      </c>
      <c r="J13">
        <v>0</v>
      </c>
      <c r="K13" t="s">
        <v>244</v>
      </c>
      <c r="L13" t="s">
        <v>425</v>
      </c>
      <c r="M13" t="s">
        <v>425</v>
      </c>
      <c r="O13" t="s">
        <v>244</v>
      </c>
      <c r="P13">
        <v>0</v>
      </c>
      <c r="Q13">
        <v>0</v>
      </c>
      <c r="R13">
        <v>0</v>
      </c>
      <c r="S13">
        <v>0</v>
      </c>
      <c r="T13" t="s">
        <v>244</v>
      </c>
      <c r="U13" t="s">
        <v>244</v>
      </c>
      <c r="V13">
        <v>0</v>
      </c>
      <c r="W13">
        <v>0</v>
      </c>
      <c r="X13">
        <v>999999999</v>
      </c>
      <c r="Y13">
        <v>0</v>
      </c>
      <c r="Z13">
        <v>0</v>
      </c>
      <c r="AA13" t="s">
        <v>244</v>
      </c>
      <c r="AB13" t="s">
        <v>244</v>
      </c>
      <c r="AC13">
        <v>0</v>
      </c>
      <c r="AD13" t="s">
        <v>426</v>
      </c>
    </row>
    <row r="14" spans="1:30" x14ac:dyDescent="0.25">
      <c r="A14">
        <v>3310</v>
      </c>
      <c r="B14" t="s">
        <v>445</v>
      </c>
      <c r="C14" s="9" t="s">
        <v>473</v>
      </c>
      <c r="D14" t="s">
        <v>319</v>
      </c>
      <c r="E14" t="s">
        <v>243</v>
      </c>
      <c r="F14">
        <v>0</v>
      </c>
      <c r="G14">
        <v>999999999</v>
      </c>
      <c r="H14">
        <v>32.119999999999997</v>
      </c>
      <c r="I14">
        <v>0</v>
      </c>
      <c r="J14">
        <v>0</v>
      </c>
      <c r="K14" t="s">
        <v>244</v>
      </c>
      <c r="L14" t="s">
        <v>427</v>
      </c>
      <c r="M14" t="s">
        <v>425</v>
      </c>
      <c r="N14" t="s">
        <v>428</v>
      </c>
      <c r="O14" t="s">
        <v>244</v>
      </c>
      <c r="P14">
        <v>0</v>
      </c>
      <c r="Q14">
        <v>0</v>
      </c>
      <c r="R14">
        <v>0</v>
      </c>
      <c r="S14">
        <v>0</v>
      </c>
      <c r="T14" t="s">
        <v>244</v>
      </c>
      <c r="U14" t="s">
        <v>244</v>
      </c>
      <c r="V14">
        <v>0</v>
      </c>
      <c r="W14">
        <v>0</v>
      </c>
      <c r="X14">
        <v>999999999</v>
      </c>
      <c r="Y14">
        <v>0</v>
      </c>
      <c r="Z14">
        <v>0</v>
      </c>
      <c r="AA14" t="s">
        <v>244</v>
      </c>
      <c r="AB14" t="s">
        <v>244</v>
      </c>
      <c r="AC14">
        <v>0</v>
      </c>
      <c r="AD14" t="s">
        <v>426</v>
      </c>
    </row>
    <row r="15" spans="1:30" x14ac:dyDescent="0.25">
      <c r="A15">
        <v>3310</v>
      </c>
      <c r="B15" t="s">
        <v>446</v>
      </c>
      <c r="C15" s="9" t="s">
        <v>473</v>
      </c>
      <c r="D15" t="s">
        <v>319</v>
      </c>
      <c r="E15" t="s">
        <v>243</v>
      </c>
      <c r="F15">
        <v>0</v>
      </c>
      <c r="G15">
        <v>999999999</v>
      </c>
      <c r="H15">
        <v>32.32</v>
      </c>
      <c r="I15">
        <v>0</v>
      </c>
      <c r="J15">
        <v>0</v>
      </c>
      <c r="K15" t="s">
        <v>244</v>
      </c>
      <c r="L15" t="s">
        <v>427</v>
      </c>
      <c r="M15" t="s">
        <v>425</v>
      </c>
      <c r="N15" t="s">
        <v>429</v>
      </c>
      <c r="O15" t="s">
        <v>244</v>
      </c>
      <c r="P15">
        <v>0</v>
      </c>
      <c r="Q15">
        <v>0</v>
      </c>
      <c r="R15">
        <v>0</v>
      </c>
      <c r="S15">
        <v>0</v>
      </c>
      <c r="T15" t="s">
        <v>244</v>
      </c>
      <c r="U15" t="s">
        <v>244</v>
      </c>
      <c r="V15">
        <v>0</v>
      </c>
      <c r="W15">
        <v>0</v>
      </c>
      <c r="X15">
        <v>999999999</v>
      </c>
      <c r="Y15">
        <v>0</v>
      </c>
      <c r="Z15">
        <v>0</v>
      </c>
      <c r="AA15" t="s">
        <v>244</v>
      </c>
      <c r="AB15" t="s">
        <v>244</v>
      </c>
      <c r="AC15">
        <v>0</v>
      </c>
    </row>
    <row r="16" spans="1:30" x14ac:dyDescent="0.25">
      <c r="A16">
        <v>3310</v>
      </c>
      <c r="B16" t="s">
        <v>447</v>
      </c>
      <c r="C16" s="9" t="s">
        <v>473</v>
      </c>
      <c r="D16" t="s">
        <v>319</v>
      </c>
      <c r="E16" t="s">
        <v>243</v>
      </c>
      <c r="F16">
        <v>0</v>
      </c>
      <c r="G16">
        <v>999999999</v>
      </c>
      <c r="H16">
        <v>32.32</v>
      </c>
      <c r="I16">
        <v>0</v>
      </c>
      <c r="J16">
        <v>0</v>
      </c>
      <c r="K16" t="s">
        <v>244</v>
      </c>
      <c r="L16" t="s">
        <v>425</v>
      </c>
      <c r="M16" t="s">
        <v>425</v>
      </c>
      <c r="N16" t="s">
        <v>430</v>
      </c>
      <c r="O16" t="s">
        <v>244</v>
      </c>
      <c r="P16">
        <v>0</v>
      </c>
      <c r="Q16">
        <v>0</v>
      </c>
      <c r="R16">
        <v>0</v>
      </c>
      <c r="S16">
        <v>0</v>
      </c>
      <c r="T16" t="s">
        <v>244</v>
      </c>
      <c r="U16" t="s">
        <v>244</v>
      </c>
      <c r="V16">
        <v>0</v>
      </c>
      <c r="W16">
        <v>0</v>
      </c>
      <c r="X16">
        <v>999999999</v>
      </c>
      <c r="Y16">
        <v>0</v>
      </c>
      <c r="Z16">
        <v>0</v>
      </c>
      <c r="AA16" t="s">
        <v>244</v>
      </c>
      <c r="AB16" t="s">
        <v>244</v>
      </c>
      <c r="AC16">
        <v>0</v>
      </c>
    </row>
    <row r="17" spans="1:29" x14ac:dyDescent="0.25">
      <c r="A17">
        <v>3310</v>
      </c>
      <c r="B17" t="s">
        <v>371</v>
      </c>
      <c r="C17" s="9" t="s">
        <v>473</v>
      </c>
      <c r="D17" t="s">
        <v>319</v>
      </c>
      <c r="E17" t="s">
        <v>243</v>
      </c>
      <c r="F17">
        <v>0</v>
      </c>
      <c r="G17">
        <v>999999999</v>
      </c>
      <c r="H17">
        <v>34.29</v>
      </c>
      <c r="I17">
        <v>0</v>
      </c>
      <c r="J17">
        <v>0</v>
      </c>
      <c r="K17" t="s">
        <v>244</v>
      </c>
      <c r="L17" t="s">
        <v>427</v>
      </c>
      <c r="M17" t="s">
        <v>425</v>
      </c>
      <c r="O17" t="s">
        <v>244</v>
      </c>
      <c r="P17">
        <v>0</v>
      </c>
      <c r="Q17">
        <v>0</v>
      </c>
      <c r="R17">
        <v>0</v>
      </c>
      <c r="S17">
        <v>0</v>
      </c>
      <c r="T17" t="s">
        <v>244</v>
      </c>
      <c r="U17" t="s">
        <v>244</v>
      </c>
      <c r="V17">
        <v>0</v>
      </c>
      <c r="W17">
        <v>0</v>
      </c>
      <c r="X17">
        <v>999999999</v>
      </c>
      <c r="Y17">
        <v>0</v>
      </c>
      <c r="Z17">
        <v>0</v>
      </c>
      <c r="AA17" t="s">
        <v>244</v>
      </c>
      <c r="AB17" t="s">
        <v>244</v>
      </c>
      <c r="AC17">
        <v>0</v>
      </c>
    </row>
    <row r="18" spans="1:29" x14ac:dyDescent="0.25">
      <c r="A18">
        <v>3770</v>
      </c>
      <c r="B18" t="s">
        <v>448</v>
      </c>
      <c r="C18" s="9" t="s">
        <v>473</v>
      </c>
      <c r="D18" t="s">
        <v>319</v>
      </c>
      <c r="E18" t="s">
        <v>243</v>
      </c>
      <c r="F18">
        <v>0</v>
      </c>
      <c r="G18">
        <v>999999999</v>
      </c>
      <c r="H18">
        <v>23.98</v>
      </c>
      <c r="I18">
        <v>0</v>
      </c>
      <c r="J18">
        <v>0</v>
      </c>
      <c r="K18" t="s">
        <v>244</v>
      </c>
      <c r="L18" t="s">
        <v>425</v>
      </c>
      <c r="M18" t="s">
        <v>425</v>
      </c>
      <c r="O18" t="s">
        <v>244</v>
      </c>
      <c r="P18">
        <v>0</v>
      </c>
      <c r="Q18">
        <v>0</v>
      </c>
      <c r="R18">
        <v>0</v>
      </c>
      <c r="S18">
        <v>0</v>
      </c>
      <c r="T18" t="s">
        <v>244</v>
      </c>
      <c r="U18" t="s">
        <v>244</v>
      </c>
      <c r="V18">
        <v>0</v>
      </c>
      <c r="W18">
        <v>0</v>
      </c>
      <c r="X18">
        <v>999999999</v>
      </c>
      <c r="Y18">
        <v>0</v>
      </c>
      <c r="Z18">
        <v>0</v>
      </c>
      <c r="AA18" t="s">
        <v>244</v>
      </c>
      <c r="AB18" t="s">
        <v>244</v>
      </c>
      <c r="AC18">
        <v>0</v>
      </c>
    </row>
    <row r="19" spans="1:29" x14ac:dyDescent="0.25">
      <c r="A19">
        <v>3775</v>
      </c>
      <c r="B19" t="s">
        <v>449</v>
      </c>
      <c r="C19" s="9" t="s">
        <v>473</v>
      </c>
      <c r="D19" t="s">
        <v>319</v>
      </c>
      <c r="E19" t="s">
        <v>243</v>
      </c>
      <c r="F19">
        <v>0</v>
      </c>
      <c r="G19">
        <v>999999999</v>
      </c>
      <c r="H19">
        <v>32.119999999999997</v>
      </c>
      <c r="I19">
        <v>0</v>
      </c>
      <c r="J19">
        <v>0</v>
      </c>
      <c r="K19" t="s">
        <v>244</v>
      </c>
      <c r="L19" t="s">
        <v>425</v>
      </c>
      <c r="M19" t="s">
        <v>425</v>
      </c>
      <c r="O19" t="s">
        <v>244</v>
      </c>
      <c r="P19">
        <v>0</v>
      </c>
      <c r="Q19">
        <v>0</v>
      </c>
      <c r="R19">
        <v>0</v>
      </c>
      <c r="S19">
        <v>0</v>
      </c>
      <c r="T19" t="s">
        <v>244</v>
      </c>
      <c r="U19" t="s">
        <v>244</v>
      </c>
      <c r="V19">
        <v>0</v>
      </c>
      <c r="W19">
        <v>0</v>
      </c>
      <c r="X19">
        <v>999999999</v>
      </c>
      <c r="Y19">
        <v>0</v>
      </c>
      <c r="Z19">
        <v>0</v>
      </c>
      <c r="AA19" t="s">
        <v>244</v>
      </c>
      <c r="AB19" t="s">
        <v>244</v>
      </c>
      <c r="AC19">
        <v>0</v>
      </c>
    </row>
    <row r="20" spans="1:29" x14ac:dyDescent="0.25">
      <c r="A20">
        <v>3765</v>
      </c>
      <c r="B20" t="s">
        <v>450</v>
      </c>
      <c r="C20" s="9" t="s">
        <v>473</v>
      </c>
      <c r="D20" t="s">
        <v>319</v>
      </c>
      <c r="E20" t="s">
        <v>243</v>
      </c>
      <c r="F20">
        <v>0</v>
      </c>
      <c r="G20">
        <v>999999999</v>
      </c>
      <c r="H20">
        <v>38.090000000000003</v>
      </c>
      <c r="I20">
        <v>0</v>
      </c>
      <c r="J20">
        <v>0</v>
      </c>
      <c r="K20" t="s">
        <v>244</v>
      </c>
      <c r="L20" t="s">
        <v>425</v>
      </c>
      <c r="M20" t="s">
        <v>425</v>
      </c>
      <c r="O20" t="s">
        <v>244</v>
      </c>
      <c r="P20">
        <v>0</v>
      </c>
      <c r="Q20">
        <v>0</v>
      </c>
      <c r="R20">
        <v>0</v>
      </c>
      <c r="S20">
        <v>0</v>
      </c>
      <c r="T20" t="s">
        <v>244</v>
      </c>
      <c r="U20" t="s">
        <v>244</v>
      </c>
      <c r="V20">
        <v>0</v>
      </c>
      <c r="W20">
        <v>0</v>
      </c>
      <c r="X20">
        <v>999999999</v>
      </c>
      <c r="Y20">
        <v>0</v>
      </c>
      <c r="Z20">
        <v>0</v>
      </c>
      <c r="AA20" t="s">
        <v>244</v>
      </c>
      <c r="AB20" t="s">
        <v>244</v>
      </c>
      <c r="AC20">
        <v>0</v>
      </c>
    </row>
    <row r="21" spans="1:29" x14ac:dyDescent="0.25">
      <c r="A21">
        <v>3775</v>
      </c>
      <c r="B21" t="s">
        <v>451</v>
      </c>
      <c r="C21" s="9" t="s">
        <v>473</v>
      </c>
      <c r="D21" t="s">
        <v>319</v>
      </c>
      <c r="E21" t="s">
        <v>243</v>
      </c>
      <c r="F21">
        <v>0</v>
      </c>
      <c r="G21">
        <v>999999999</v>
      </c>
      <c r="H21">
        <v>35.520000000000003</v>
      </c>
      <c r="I21">
        <v>45000</v>
      </c>
      <c r="J21">
        <v>0</v>
      </c>
      <c r="K21" t="s">
        <v>244</v>
      </c>
      <c r="L21" t="s">
        <v>425</v>
      </c>
      <c r="M21" t="s">
        <v>425</v>
      </c>
      <c r="O21" t="s">
        <v>244</v>
      </c>
      <c r="P21">
        <v>0</v>
      </c>
      <c r="Q21">
        <v>0</v>
      </c>
      <c r="R21">
        <v>0</v>
      </c>
      <c r="S21">
        <v>0</v>
      </c>
      <c r="T21" t="s">
        <v>244</v>
      </c>
      <c r="U21" t="s">
        <v>244</v>
      </c>
      <c r="V21">
        <v>0</v>
      </c>
      <c r="W21">
        <v>0</v>
      </c>
      <c r="X21">
        <v>999999999</v>
      </c>
      <c r="Y21">
        <v>0</v>
      </c>
      <c r="Z21">
        <v>0</v>
      </c>
      <c r="AA21" t="s">
        <v>244</v>
      </c>
      <c r="AB21" t="s">
        <v>244</v>
      </c>
      <c r="AC21">
        <v>0</v>
      </c>
    </row>
    <row r="22" spans="1:29" x14ac:dyDescent="0.25">
      <c r="A22">
        <v>3803</v>
      </c>
      <c r="B22" t="s">
        <v>372</v>
      </c>
      <c r="C22" s="9" t="s">
        <v>473</v>
      </c>
      <c r="D22" t="s">
        <v>319</v>
      </c>
      <c r="E22" t="s">
        <v>243</v>
      </c>
      <c r="F22">
        <v>0</v>
      </c>
      <c r="G22">
        <v>999999999</v>
      </c>
      <c r="H22">
        <v>47.52</v>
      </c>
      <c r="I22">
        <v>0</v>
      </c>
      <c r="J22">
        <v>0</v>
      </c>
      <c r="K22" t="s">
        <v>244</v>
      </c>
      <c r="L22" t="s">
        <v>425</v>
      </c>
      <c r="M22" t="s">
        <v>425</v>
      </c>
      <c r="O22" t="s">
        <v>244</v>
      </c>
      <c r="P22">
        <v>0</v>
      </c>
      <c r="Q22">
        <v>0</v>
      </c>
      <c r="R22">
        <v>0</v>
      </c>
      <c r="S22">
        <v>0</v>
      </c>
      <c r="T22" t="s">
        <v>244</v>
      </c>
      <c r="U22" t="s">
        <v>244</v>
      </c>
      <c r="V22">
        <v>0</v>
      </c>
      <c r="W22">
        <v>0</v>
      </c>
      <c r="X22">
        <v>999999999</v>
      </c>
      <c r="Y22">
        <v>0</v>
      </c>
      <c r="Z22">
        <v>0</v>
      </c>
      <c r="AA22" t="s">
        <v>244</v>
      </c>
      <c r="AB22" t="s">
        <v>244</v>
      </c>
      <c r="AC22">
        <v>0</v>
      </c>
    </row>
    <row r="23" spans="1:29" x14ac:dyDescent="0.25">
      <c r="A23">
        <v>3040</v>
      </c>
      <c r="B23" t="s">
        <v>373</v>
      </c>
      <c r="C23" s="9" t="s">
        <v>473</v>
      </c>
      <c r="D23" t="s">
        <v>322</v>
      </c>
      <c r="E23" t="s">
        <v>243</v>
      </c>
      <c r="F23">
        <v>0</v>
      </c>
      <c r="G23">
        <v>999999999</v>
      </c>
      <c r="H23">
        <v>0.03</v>
      </c>
      <c r="I23">
        <v>0</v>
      </c>
      <c r="J23">
        <v>0</v>
      </c>
      <c r="K23" t="s">
        <v>244</v>
      </c>
      <c r="L23" t="s">
        <v>425</v>
      </c>
      <c r="M23" t="s">
        <v>425</v>
      </c>
      <c r="O23" t="s">
        <v>244</v>
      </c>
      <c r="P23">
        <v>0</v>
      </c>
      <c r="Q23">
        <v>0</v>
      </c>
      <c r="R23">
        <v>0</v>
      </c>
      <c r="S23">
        <v>0</v>
      </c>
      <c r="T23" t="s">
        <v>244</v>
      </c>
      <c r="U23" t="s">
        <v>244</v>
      </c>
      <c r="V23">
        <v>0</v>
      </c>
      <c r="W23">
        <v>0</v>
      </c>
      <c r="X23">
        <v>999999999</v>
      </c>
      <c r="Y23">
        <v>0</v>
      </c>
      <c r="Z23">
        <v>0</v>
      </c>
      <c r="AA23" t="s">
        <v>244</v>
      </c>
      <c r="AB23" t="s">
        <v>244</v>
      </c>
      <c r="AC23">
        <v>0</v>
      </c>
    </row>
    <row r="24" spans="1:29" x14ac:dyDescent="0.25">
      <c r="A24">
        <v>3600</v>
      </c>
      <c r="B24" t="s">
        <v>465</v>
      </c>
      <c r="C24" s="9" t="s">
        <v>473</v>
      </c>
      <c r="D24" t="s">
        <v>325</v>
      </c>
      <c r="E24" t="s">
        <v>243</v>
      </c>
      <c r="F24">
        <v>0</v>
      </c>
      <c r="G24">
        <v>999999999</v>
      </c>
      <c r="H24">
        <v>27.34</v>
      </c>
      <c r="I24">
        <v>0</v>
      </c>
      <c r="J24">
        <v>0</v>
      </c>
      <c r="K24" t="s">
        <v>244</v>
      </c>
      <c r="L24" t="s">
        <v>425</v>
      </c>
      <c r="M24" t="s">
        <v>425</v>
      </c>
      <c r="O24" t="s">
        <v>244</v>
      </c>
      <c r="P24">
        <v>0</v>
      </c>
      <c r="Q24">
        <v>0</v>
      </c>
      <c r="R24">
        <v>0</v>
      </c>
      <c r="S24">
        <v>0</v>
      </c>
      <c r="T24" t="s">
        <v>244</v>
      </c>
      <c r="U24" t="s">
        <v>244</v>
      </c>
      <c r="V24">
        <v>0</v>
      </c>
      <c r="W24">
        <v>0</v>
      </c>
      <c r="X24">
        <v>999999999</v>
      </c>
      <c r="Y24">
        <v>0</v>
      </c>
      <c r="Z24">
        <v>0</v>
      </c>
      <c r="AA24" t="s">
        <v>244</v>
      </c>
      <c r="AB24" t="s">
        <v>244</v>
      </c>
      <c r="AC24">
        <v>0</v>
      </c>
    </row>
    <row r="25" spans="1:29" x14ac:dyDescent="0.25">
      <c r="A25">
        <v>1300</v>
      </c>
      <c r="B25" t="s">
        <v>462</v>
      </c>
      <c r="C25" s="9" t="s">
        <v>473</v>
      </c>
      <c r="D25" t="s">
        <v>310</v>
      </c>
      <c r="E25" t="s">
        <v>243</v>
      </c>
      <c r="F25">
        <v>0</v>
      </c>
      <c r="G25">
        <v>999999999</v>
      </c>
      <c r="H25">
        <v>10.26</v>
      </c>
      <c r="I25">
        <v>0</v>
      </c>
      <c r="J25">
        <v>0</v>
      </c>
      <c r="K25" t="s">
        <v>244</v>
      </c>
      <c r="L25" t="s">
        <v>425</v>
      </c>
      <c r="M25" t="s">
        <v>425</v>
      </c>
      <c r="O25" t="s">
        <v>301</v>
      </c>
      <c r="P25">
        <v>0</v>
      </c>
      <c r="Q25">
        <v>0</v>
      </c>
      <c r="R25">
        <v>0</v>
      </c>
      <c r="S25">
        <v>0</v>
      </c>
      <c r="T25" t="s">
        <v>244</v>
      </c>
      <c r="U25" t="s">
        <v>244</v>
      </c>
      <c r="V25">
        <v>0</v>
      </c>
      <c r="W25">
        <v>0</v>
      </c>
      <c r="X25">
        <v>999999999</v>
      </c>
      <c r="Y25">
        <v>0</v>
      </c>
      <c r="Z25">
        <v>0</v>
      </c>
      <c r="AA25" t="s">
        <v>244</v>
      </c>
      <c r="AB25" t="s">
        <v>244</v>
      </c>
      <c r="AC25">
        <v>0</v>
      </c>
    </row>
    <row r="26" spans="1:29" x14ac:dyDescent="0.25">
      <c r="A26">
        <v>1300</v>
      </c>
      <c r="B26" t="s">
        <v>463</v>
      </c>
      <c r="C26" s="9" t="s">
        <v>473</v>
      </c>
      <c r="D26" t="s">
        <v>438</v>
      </c>
      <c r="E26" t="s">
        <v>243</v>
      </c>
      <c r="F26">
        <v>0</v>
      </c>
      <c r="G26">
        <v>999999999</v>
      </c>
      <c r="H26">
        <v>10.26</v>
      </c>
      <c r="I26">
        <v>0</v>
      </c>
      <c r="J26">
        <v>0</v>
      </c>
      <c r="K26" t="s">
        <v>244</v>
      </c>
      <c r="L26" t="s">
        <v>425</v>
      </c>
      <c r="M26" t="s">
        <v>425</v>
      </c>
      <c r="O26" t="s">
        <v>244</v>
      </c>
      <c r="P26">
        <v>0</v>
      </c>
      <c r="Q26">
        <v>0</v>
      </c>
      <c r="R26">
        <v>0</v>
      </c>
      <c r="S26">
        <v>0</v>
      </c>
      <c r="T26" t="s">
        <v>244</v>
      </c>
      <c r="U26" t="s">
        <v>244</v>
      </c>
      <c r="V26">
        <v>0</v>
      </c>
      <c r="W26">
        <v>0</v>
      </c>
      <c r="X26">
        <v>999999999</v>
      </c>
      <c r="Y26">
        <v>0</v>
      </c>
      <c r="Z26">
        <v>0</v>
      </c>
      <c r="AA26" t="s">
        <v>244</v>
      </c>
      <c r="AB26" t="s">
        <v>244</v>
      </c>
      <c r="AC26">
        <v>0</v>
      </c>
    </row>
    <row r="27" spans="1:29" x14ac:dyDescent="0.25">
      <c r="A27">
        <v>5100</v>
      </c>
      <c r="B27" t="s">
        <v>374</v>
      </c>
      <c r="C27" s="9" t="s">
        <v>473</v>
      </c>
      <c r="D27" t="s">
        <v>328</v>
      </c>
      <c r="E27" t="s">
        <v>243</v>
      </c>
      <c r="F27">
        <v>0</v>
      </c>
      <c r="G27">
        <v>999999999</v>
      </c>
      <c r="H27">
        <v>210.39</v>
      </c>
      <c r="I27">
        <v>0</v>
      </c>
      <c r="J27">
        <v>0</v>
      </c>
      <c r="K27" t="s">
        <v>244</v>
      </c>
      <c r="L27" t="s">
        <v>425</v>
      </c>
      <c r="M27" t="s">
        <v>425</v>
      </c>
      <c r="O27" t="s">
        <v>244</v>
      </c>
      <c r="P27">
        <v>0</v>
      </c>
      <c r="Q27">
        <v>0</v>
      </c>
      <c r="R27">
        <v>0</v>
      </c>
      <c r="S27">
        <v>0</v>
      </c>
      <c r="T27" t="s">
        <v>244</v>
      </c>
      <c r="U27" t="s">
        <v>244</v>
      </c>
      <c r="V27">
        <v>0</v>
      </c>
      <c r="W27">
        <v>0</v>
      </c>
      <c r="X27">
        <v>999999999</v>
      </c>
      <c r="Y27">
        <v>0</v>
      </c>
      <c r="Z27">
        <v>0</v>
      </c>
      <c r="AA27" t="s">
        <v>244</v>
      </c>
      <c r="AB27" t="s">
        <v>244</v>
      </c>
      <c r="AC27">
        <v>0</v>
      </c>
    </row>
    <row r="28" spans="1:29" x14ac:dyDescent="0.25">
      <c r="A28">
        <v>5100</v>
      </c>
      <c r="B28" t="s">
        <v>375</v>
      </c>
      <c r="C28" s="9" t="s">
        <v>473</v>
      </c>
      <c r="D28" t="s">
        <v>325</v>
      </c>
      <c r="E28" t="s">
        <v>243</v>
      </c>
      <c r="F28">
        <v>0</v>
      </c>
      <c r="G28">
        <v>999999999</v>
      </c>
      <c r="H28">
        <v>0</v>
      </c>
      <c r="I28">
        <v>0</v>
      </c>
      <c r="J28">
        <v>0</v>
      </c>
      <c r="K28" t="s">
        <v>301</v>
      </c>
      <c r="L28" t="s">
        <v>425</v>
      </c>
      <c r="M28" t="s">
        <v>425</v>
      </c>
      <c r="O28" t="s">
        <v>244</v>
      </c>
      <c r="P28">
        <v>0</v>
      </c>
      <c r="Q28">
        <v>0</v>
      </c>
      <c r="R28">
        <v>0</v>
      </c>
      <c r="S28">
        <v>0</v>
      </c>
      <c r="T28" t="s">
        <v>244</v>
      </c>
      <c r="U28" t="s">
        <v>244</v>
      </c>
      <c r="V28">
        <v>0</v>
      </c>
      <c r="W28">
        <v>0</v>
      </c>
      <c r="X28">
        <v>999999999</v>
      </c>
      <c r="Y28">
        <v>0</v>
      </c>
      <c r="Z28">
        <v>0</v>
      </c>
      <c r="AA28" t="s">
        <v>244</v>
      </c>
      <c r="AB28" t="s">
        <v>244</v>
      </c>
      <c r="AC28">
        <v>0</v>
      </c>
    </row>
    <row r="29" spans="1:29" x14ac:dyDescent="0.25">
      <c r="A29">
        <v>5100</v>
      </c>
      <c r="B29" t="s">
        <v>376</v>
      </c>
      <c r="C29" s="9" t="s">
        <v>473</v>
      </c>
      <c r="D29" t="s">
        <v>327</v>
      </c>
      <c r="E29" t="s">
        <v>243</v>
      </c>
      <c r="F29">
        <v>0</v>
      </c>
      <c r="G29">
        <v>3</v>
      </c>
      <c r="H29">
        <v>25.66</v>
      </c>
      <c r="I29">
        <v>0</v>
      </c>
      <c r="J29">
        <v>0</v>
      </c>
      <c r="K29" t="s">
        <v>244</v>
      </c>
      <c r="L29" t="s">
        <v>427</v>
      </c>
      <c r="M29" t="s">
        <v>426</v>
      </c>
      <c r="O29" t="s">
        <v>244</v>
      </c>
      <c r="P29">
        <v>4</v>
      </c>
      <c r="Q29">
        <v>4</v>
      </c>
      <c r="R29">
        <v>0</v>
      </c>
      <c r="S29">
        <v>0</v>
      </c>
      <c r="T29" t="s">
        <v>244</v>
      </c>
      <c r="U29" t="s">
        <v>301</v>
      </c>
      <c r="V29">
        <v>0</v>
      </c>
      <c r="W29">
        <v>5</v>
      </c>
      <c r="X29">
        <v>99999999</v>
      </c>
      <c r="Y29">
        <v>0</v>
      </c>
      <c r="Z29">
        <v>0</v>
      </c>
      <c r="AA29" t="s">
        <v>244</v>
      </c>
      <c r="AB29" t="s">
        <v>244</v>
      </c>
      <c r="AC29">
        <v>35.92</v>
      </c>
    </row>
    <row r="30" spans="1:29" x14ac:dyDescent="0.25">
      <c r="A30">
        <v>5100</v>
      </c>
      <c r="B30" t="s">
        <v>376</v>
      </c>
      <c r="C30" s="9" t="s">
        <v>473</v>
      </c>
      <c r="D30" t="s">
        <v>327</v>
      </c>
      <c r="E30" t="s">
        <v>243</v>
      </c>
      <c r="F30">
        <v>0</v>
      </c>
      <c r="G30">
        <v>3</v>
      </c>
      <c r="H30">
        <v>35.92</v>
      </c>
      <c r="I30">
        <v>0</v>
      </c>
      <c r="J30">
        <v>0</v>
      </c>
      <c r="K30" t="s">
        <v>244</v>
      </c>
      <c r="L30" t="s">
        <v>427</v>
      </c>
      <c r="M30" t="s">
        <v>426</v>
      </c>
      <c r="O30" t="s">
        <v>244</v>
      </c>
      <c r="P30">
        <v>4</v>
      </c>
      <c r="Q30">
        <v>4</v>
      </c>
      <c r="R30">
        <v>0</v>
      </c>
      <c r="S30">
        <v>0</v>
      </c>
      <c r="T30" t="s">
        <v>244</v>
      </c>
      <c r="U30" t="s">
        <v>301</v>
      </c>
      <c r="V30">
        <v>0</v>
      </c>
      <c r="W30">
        <v>5</v>
      </c>
      <c r="X30">
        <v>99999999</v>
      </c>
      <c r="Y30">
        <v>0</v>
      </c>
      <c r="Z30">
        <v>0</v>
      </c>
      <c r="AA30" t="s">
        <v>244</v>
      </c>
      <c r="AB30" t="s">
        <v>244</v>
      </c>
      <c r="AC30">
        <v>35.92</v>
      </c>
    </row>
    <row r="31" spans="1:29" x14ac:dyDescent="0.25">
      <c r="A31">
        <v>5100</v>
      </c>
      <c r="B31" t="s">
        <v>377</v>
      </c>
      <c r="C31" s="9" t="s">
        <v>473</v>
      </c>
      <c r="D31" t="s">
        <v>327</v>
      </c>
      <c r="E31" t="s">
        <v>243</v>
      </c>
      <c r="F31">
        <v>0</v>
      </c>
      <c r="G31">
        <v>999999999</v>
      </c>
      <c r="H31">
        <v>43.1</v>
      </c>
      <c r="I31">
        <v>0</v>
      </c>
      <c r="J31">
        <v>0</v>
      </c>
      <c r="K31" t="s">
        <v>244</v>
      </c>
      <c r="L31" t="s">
        <v>425</v>
      </c>
      <c r="M31" t="s">
        <v>425</v>
      </c>
      <c r="O31" t="s">
        <v>244</v>
      </c>
      <c r="P31">
        <v>0</v>
      </c>
      <c r="Q31">
        <v>0</v>
      </c>
      <c r="R31">
        <v>0</v>
      </c>
      <c r="S31">
        <v>0</v>
      </c>
      <c r="T31" t="s">
        <v>244</v>
      </c>
      <c r="U31" t="s">
        <v>244</v>
      </c>
      <c r="V31">
        <v>0</v>
      </c>
      <c r="W31">
        <v>0</v>
      </c>
      <c r="X31">
        <v>99999999</v>
      </c>
      <c r="Y31">
        <v>0</v>
      </c>
      <c r="Z31">
        <v>0</v>
      </c>
      <c r="AA31" t="s">
        <v>244</v>
      </c>
      <c r="AB31" t="s">
        <v>244</v>
      </c>
      <c r="AC31">
        <v>0</v>
      </c>
    </row>
    <row r="32" spans="1:29" x14ac:dyDescent="0.25">
      <c r="A32">
        <v>1200</v>
      </c>
      <c r="B32" t="s">
        <v>378</v>
      </c>
      <c r="C32" s="9" t="s">
        <v>473</v>
      </c>
      <c r="D32" t="s">
        <v>311</v>
      </c>
      <c r="E32" t="s">
        <v>243</v>
      </c>
      <c r="F32">
        <v>0</v>
      </c>
      <c r="G32">
        <v>3</v>
      </c>
      <c r="H32">
        <v>0</v>
      </c>
      <c r="I32">
        <v>0</v>
      </c>
      <c r="J32">
        <v>0</v>
      </c>
      <c r="K32" t="s">
        <v>301</v>
      </c>
      <c r="L32" t="s">
        <v>426</v>
      </c>
      <c r="M32" t="s">
        <v>426</v>
      </c>
      <c r="O32" t="s">
        <v>301</v>
      </c>
      <c r="P32">
        <v>4</v>
      </c>
      <c r="Q32">
        <v>9999999</v>
      </c>
      <c r="R32">
        <v>0</v>
      </c>
      <c r="S32">
        <v>0</v>
      </c>
      <c r="T32" t="s">
        <v>244</v>
      </c>
      <c r="U32" t="s">
        <v>244</v>
      </c>
      <c r="V32">
        <v>5.13</v>
      </c>
      <c r="W32">
        <v>0</v>
      </c>
      <c r="X32">
        <v>99999999</v>
      </c>
      <c r="Y32">
        <v>0</v>
      </c>
      <c r="Z32">
        <v>0</v>
      </c>
      <c r="AA32" t="s">
        <v>244</v>
      </c>
      <c r="AB32" t="s">
        <v>244</v>
      </c>
      <c r="AC32">
        <v>0</v>
      </c>
    </row>
    <row r="33" spans="1:29" x14ac:dyDescent="0.25">
      <c r="A33">
        <v>1200</v>
      </c>
      <c r="B33" t="s">
        <v>339</v>
      </c>
      <c r="C33" s="9" t="s">
        <v>473</v>
      </c>
      <c r="D33" t="s">
        <v>311</v>
      </c>
      <c r="E33" t="s">
        <v>243</v>
      </c>
      <c r="F33">
        <v>0</v>
      </c>
      <c r="G33">
        <v>999999999</v>
      </c>
      <c r="H33">
        <v>5.95</v>
      </c>
      <c r="I33">
        <v>0</v>
      </c>
      <c r="J33">
        <v>0</v>
      </c>
      <c r="K33" t="s">
        <v>244</v>
      </c>
      <c r="L33" t="s">
        <v>425</v>
      </c>
      <c r="M33" t="s">
        <v>425</v>
      </c>
      <c r="O33" t="s">
        <v>301</v>
      </c>
      <c r="R33">
        <v>0</v>
      </c>
      <c r="S33">
        <v>0</v>
      </c>
      <c r="T33" t="s">
        <v>244</v>
      </c>
      <c r="U33" t="s">
        <v>244</v>
      </c>
      <c r="V33">
        <v>0</v>
      </c>
      <c r="W33">
        <v>0</v>
      </c>
      <c r="X33">
        <v>99999999</v>
      </c>
      <c r="Y33">
        <v>0</v>
      </c>
      <c r="Z33">
        <v>0</v>
      </c>
      <c r="AA33" t="s">
        <v>244</v>
      </c>
      <c r="AB33" t="s">
        <v>244</v>
      </c>
      <c r="AC33">
        <v>0</v>
      </c>
    </row>
    <row r="34" spans="1:29" x14ac:dyDescent="0.25">
      <c r="A34">
        <v>1200</v>
      </c>
      <c r="B34" t="s">
        <v>379</v>
      </c>
      <c r="C34" s="9" t="s">
        <v>473</v>
      </c>
      <c r="D34" t="s">
        <v>316</v>
      </c>
      <c r="E34" t="s">
        <v>243</v>
      </c>
      <c r="F34">
        <v>0</v>
      </c>
      <c r="G34">
        <v>999999999</v>
      </c>
      <c r="H34">
        <v>4.46</v>
      </c>
      <c r="I34">
        <v>0</v>
      </c>
      <c r="J34">
        <v>0</v>
      </c>
      <c r="K34" t="s">
        <v>244</v>
      </c>
      <c r="L34" t="s">
        <v>425</v>
      </c>
      <c r="M34" t="s">
        <v>425</v>
      </c>
      <c r="N34" t="s">
        <v>431</v>
      </c>
      <c r="O34" t="s">
        <v>301</v>
      </c>
      <c r="R34">
        <v>0</v>
      </c>
      <c r="S34">
        <v>0</v>
      </c>
      <c r="T34" t="s">
        <v>244</v>
      </c>
      <c r="U34" t="s">
        <v>244</v>
      </c>
      <c r="V34">
        <v>0</v>
      </c>
      <c r="W34">
        <v>0</v>
      </c>
      <c r="X34">
        <v>99999999</v>
      </c>
      <c r="Y34">
        <v>0</v>
      </c>
      <c r="Z34">
        <v>0</v>
      </c>
      <c r="AA34" t="s">
        <v>244</v>
      </c>
      <c r="AB34" t="s">
        <v>244</v>
      </c>
      <c r="AC34">
        <v>0</v>
      </c>
    </row>
    <row r="35" spans="1:29" x14ac:dyDescent="0.25">
      <c r="A35">
        <v>1200</v>
      </c>
      <c r="B35" t="s">
        <v>380</v>
      </c>
      <c r="C35" s="9" t="s">
        <v>473</v>
      </c>
      <c r="D35" t="s">
        <v>316</v>
      </c>
      <c r="E35" t="s">
        <v>243</v>
      </c>
      <c r="F35">
        <v>0</v>
      </c>
      <c r="G35">
        <v>999999999</v>
      </c>
      <c r="H35">
        <v>3.08</v>
      </c>
      <c r="I35">
        <v>0</v>
      </c>
      <c r="J35">
        <v>0</v>
      </c>
      <c r="K35" t="s">
        <v>244</v>
      </c>
      <c r="L35" t="s">
        <v>425</v>
      </c>
      <c r="M35" t="s">
        <v>425</v>
      </c>
      <c r="N35" t="s">
        <v>432</v>
      </c>
      <c r="O35" t="s">
        <v>301</v>
      </c>
      <c r="R35">
        <v>0</v>
      </c>
      <c r="S35">
        <v>0</v>
      </c>
      <c r="T35" t="s">
        <v>244</v>
      </c>
      <c r="U35" t="s">
        <v>244</v>
      </c>
      <c r="V35">
        <v>0</v>
      </c>
      <c r="W35">
        <v>0</v>
      </c>
      <c r="X35">
        <v>99999999</v>
      </c>
      <c r="Y35">
        <v>0</v>
      </c>
      <c r="Z35">
        <v>0</v>
      </c>
      <c r="AA35" t="s">
        <v>244</v>
      </c>
      <c r="AB35" t="s">
        <v>244</v>
      </c>
      <c r="AC35">
        <v>0</v>
      </c>
    </row>
    <row r="36" spans="1:29" x14ac:dyDescent="0.25">
      <c r="A36">
        <v>1200</v>
      </c>
      <c r="B36" t="s">
        <v>378</v>
      </c>
      <c r="C36" s="9" t="s">
        <v>473</v>
      </c>
      <c r="D36" t="s">
        <v>311</v>
      </c>
      <c r="E36" t="s">
        <v>243</v>
      </c>
      <c r="F36">
        <v>0</v>
      </c>
      <c r="G36">
        <v>999999999</v>
      </c>
      <c r="H36">
        <v>6.16</v>
      </c>
      <c r="I36">
        <v>0</v>
      </c>
      <c r="J36">
        <v>0</v>
      </c>
      <c r="K36" t="s">
        <v>244</v>
      </c>
      <c r="L36" t="s">
        <v>425</v>
      </c>
      <c r="M36" t="s">
        <v>425</v>
      </c>
      <c r="N36" t="s">
        <v>433</v>
      </c>
      <c r="O36" t="s">
        <v>301</v>
      </c>
      <c r="R36">
        <v>0</v>
      </c>
      <c r="S36">
        <v>0</v>
      </c>
      <c r="T36" t="s">
        <v>244</v>
      </c>
      <c r="U36" t="s">
        <v>244</v>
      </c>
      <c r="V36">
        <v>0</v>
      </c>
      <c r="W36">
        <v>0</v>
      </c>
      <c r="X36">
        <v>99999999</v>
      </c>
      <c r="Y36">
        <v>0</v>
      </c>
      <c r="Z36">
        <v>0</v>
      </c>
      <c r="AA36" t="s">
        <v>244</v>
      </c>
      <c r="AB36" t="s">
        <v>244</v>
      </c>
      <c r="AC36">
        <v>0</v>
      </c>
    </row>
    <row r="37" spans="1:29" x14ac:dyDescent="0.25">
      <c r="A37">
        <v>1400</v>
      </c>
      <c r="B37" t="s">
        <v>453</v>
      </c>
      <c r="C37" s="9" t="s">
        <v>473</v>
      </c>
      <c r="D37" t="s">
        <v>309</v>
      </c>
      <c r="E37" t="s">
        <v>243</v>
      </c>
      <c r="F37">
        <v>0</v>
      </c>
      <c r="G37">
        <v>999999999</v>
      </c>
      <c r="H37">
        <v>15.39</v>
      </c>
      <c r="I37">
        <v>0</v>
      </c>
      <c r="J37">
        <v>0</v>
      </c>
      <c r="K37" t="s">
        <v>244</v>
      </c>
      <c r="L37" t="s">
        <v>425</v>
      </c>
      <c r="M37" t="s">
        <v>425</v>
      </c>
      <c r="O37" t="s">
        <v>301</v>
      </c>
      <c r="R37">
        <v>0</v>
      </c>
      <c r="S37">
        <v>0</v>
      </c>
      <c r="T37" t="s">
        <v>244</v>
      </c>
      <c r="U37" t="s">
        <v>244</v>
      </c>
      <c r="V37">
        <v>0</v>
      </c>
      <c r="W37">
        <v>0</v>
      </c>
      <c r="X37">
        <v>99999999</v>
      </c>
      <c r="Y37">
        <v>0</v>
      </c>
      <c r="Z37">
        <v>0</v>
      </c>
      <c r="AA37" t="s">
        <v>244</v>
      </c>
      <c r="AB37" t="s">
        <v>244</v>
      </c>
      <c r="AC37">
        <v>0</v>
      </c>
    </row>
    <row r="38" spans="1:29" x14ac:dyDescent="0.25">
      <c r="A38">
        <v>3640</v>
      </c>
      <c r="B38" t="s">
        <v>381</v>
      </c>
      <c r="C38" s="9" t="s">
        <v>473</v>
      </c>
      <c r="D38" t="s">
        <v>317</v>
      </c>
      <c r="E38" t="s">
        <v>243</v>
      </c>
      <c r="F38">
        <v>0</v>
      </c>
      <c r="G38">
        <v>999999999</v>
      </c>
      <c r="H38">
        <v>26.05</v>
      </c>
      <c r="I38">
        <v>0</v>
      </c>
      <c r="J38">
        <v>0</v>
      </c>
      <c r="K38" t="s">
        <v>244</v>
      </c>
      <c r="L38" t="s">
        <v>425</v>
      </c>
      <c r="M38" t="s">
        <v>425</v>
      </c>
      <c r="O38" t="s">
        <v>244</v>
      </c>
      <c r="R38">
        <v>0</v>
      </c>
      <c r="S38">
        <v>0</v>
      </c>
      <c r="T38" t="s">
        <v>244</v>
      </c>
      <c r="U38" t="s">
        <v>244</v>
      </c>
      <c r="V38">
        <v>0</v>
      </c>
      <c r="W38">
        <v>0</v>
      </c>
      <c r="X38">
        <v>99999999</v>
      </c>
      <c r="Y38">
        <v>0</v>
      </c>
      <c r="Z38">
        <v>0</v>
      </c>
      <c r="AA38" t="s">
        <v>244</v>
      </c>
      <c r="AB38" t="s">
        <v>244</v>
      </c>
      <c r="AC38">
        <v>0</v>
      </c>
    </row>
    <row r="39" spans="1:29" x14ac:dyDescent="0.25">
      <c r="A39">
        <v>3640</v>
      </c>
      <c r="B39" t="s">
        <v>382</v>
      </c>
      <c r="C39" s="9" t="s">
        <v>473</v>
      </c>
      <c r="D39" t="s">
        <v>317</v>
      </c>
      <c r="E39" t="s">
        <v>243</v>
      </c>
      <c r="F39">
        <v>0</v>
      </c>
      <c r="G39">
        <v>999999999</v>
      </c>
      <c r="H39">
        <v>39.07</v>
      </c>
      <c r="I39">
        <v>0</v>
      </c>
      <c r="J39">
        <v>0</v>
      </c>
      <c r="K39" t="s">
        <v>244</v>
      </c>
      <c r="L39" t="s">
        <v>425</v>
      </c>
      <c r="M39" t="s">
        <v>425</v>
      </c>
      <c r="O39" t="s">
        <v>244</v>
      </c>
      <c r="R39">
        <v>0</v>
      </c>
      <c r="S39">
        <v>0</v>
      </c>
      <c r="T39" t="s">
        <v>244</v>
      </c>
      <c r="U39" t="s">
        <v>244</v>
      </c>
      <c r="V39">
        <v>0</v>
      </c>
      <c r="W39">
        <v>0</v>
      </c>
      <c r="X39">
        <v>99999999</v>
      </c>
      <c r="Y39">
        <v>0</v>
      </c>
      <c r="Z39">
        <v>0</v>
      </c>
      <c r="AA39" t="s">
        <v>244</v>
      </c>
      <c r="AB39" t="s">
        <v>244</v>
      </c>
      <c r="AC39">
        <v>0</v>
      </c>
    </row>
    <row r="40" spans="1:29" x14ac:dyDescent="0.25">
      <c r="A40">
        <v>3640</v>
      </c>
      <c r="B40" t="s">
        <v>383</v>
      </c>
      <c r="C40" s="9" t="s">
        <v>473</v>
      </c>
      <c r="D40" t="s">
        <v>317</v>
      </c>
      <c r="E40" t="s">
        <v>243</v>
      </c>
      <c r="F40">
        <v>0</v>
      </c>
      <c r="G40">
        <v>999999999</v>
      </c>
      <c r="H40">
        <v>39.07</v>
      </c>
      <c r="I40">
        <v>0</v>
      </c>
      <c r="J40">
        <v>0</v>
      </c>
      <c r="K40" t="s">
        <v>244</v>
      </c>
      <c r="L40" t="s">
        <v>425</v>
      </c>
      <c r="M40" t="s">
        <v>425</v>
      </c>
      <c r="N40" t="s">
        <v>466</v>
      </c>
      <c r="O40" t="s">
        <v>244</v>
      </c>
      <c r="R40">
        <v>0</v>
      </c>
      <c r="S40">
        <v>0</v>
      </c>
      <c r="T40" t="s">
        <v>244</v>
      </c>
      <c r="U40" t="s">
        <v>244</v>
      </c>
      <c r="V40">
        <v>0</v>
      </c>
      <c r="W40">
        <v>0</v>
      </c>
      <c r="X40">
        <v>99999999</v>
      </c>
      <c r="Y40">
        <v>0</v>
      </c>
      <c r="Z40">
        <v>0</v>
      </c>
      <c r="AA40" t="s">
        <v>244</v>
      </c>
      <c r="AB40" t="s">
        <v>244</v>
      </c>
      <c r="AC40">
        <v>0</v>
      </c>
    </row>
    <row r="41" spans="1:29" x14ac:dyDescent="0.25">
      <c r="A41">
        <v>3640</v>
      </c>
      <c r="B41" t="s">
        <v>457</v>
      </c>
      <c r="C41" s="9" t="s">
        <v>473</v>
      </c>
      <c r="D41" t="s">
        <v>317</v>
      </c>
      <c r="E41" t="s">
        <v>243</v>
      </c>
      <c r="F41">
        <v>0</v>
      </c>
      <c r="G41">
        <v>999999999</v>
      </c>
      <c r="H41">
        <v>39.07</v>
      </c>
      <c r="I41">
        <v>0</v>
      </c>
      <c r="J41">
        <v>0</v>
      </c>
      <c r="K41" t="s">
        <v>244</v>
      </c>
      <c r="L41" t="s">
        <v>425</v>
      </c>
      <c r="M41" t="s">
        <v>425</v>
      </c>
      <c r="N41" t="s">
        <v>467</v>
      </c>
      <c r="O41" t="s">
        <v>244</v>
      </c>
      <c r="R41">
        <v>0</v>
      </c>
      <c r="S41">
        <v>0</v>
      </c>
      <c r="T41" t="s">
        <v>244</v>
      </c>
      <c r="U41" t="s">
        <v>244</v>
      </c>
      <c r="V41">
        <v>0</v>
      </c>
      <c r="W41">
        <v>0</v>
      </c>
      <c r="X41">
        <v>99999999</v>
      </c>
      <c r="Y41">
        <v>0</v>
      </c>
      <c r="Z41">
        <v>0</v>
      </c>
      <c r="AA41" t="s">
        <v>244</v>
      </c>
      <c r="AB41" t="s">
        <v>244</v>
      </c>
      <c r="AC41">
        <v>0</v>
      </c>
    </row>
    <row r="42" spans="1:29" x14ac:dyDescent="0.25">
      <c r="A42">
        <v>3640</v>
      </c>
      <c r="B42" t="s">
        <v>384</v>
      </c>
      <c r="C42" s="9" t="s">
        <v>473</v>
      </c>
      <c r="D42" t="s">
        <v>317</v>
      </c>
      <c r="E42" t="s">
        <v>243</v>
      </c>
      <c r="F42">
        <v>0</v>
      </c>
      <c r="G42">
        <v>999999999</v>
      </c>
      <c r="H42">
        <v>35.06</v>
      </c>
      <c r="I42">
        <v>0</v>
      </c>
      <c r="J42">
        <v>0</v>
      </c>
      <c r="K42" t="s">
        <v>244</v>
      </c>
      <c r="L42" t="s">
        <v>425</v>
      </c>
      <c r="M42" t="s">
        <v>425</v>
      </c>
      <c r="O42" t="s">
        <v>244</v>
      </c>
      <c r="R42">
        <v>0</v>
      </c>
      <c r="S42">
        <v>0</v>
      </c>
      <c r="T42" t="s">
        <v>244</v>
      </c>
      <c r="U42" t="s">
        <v>244</v>
      </c>
      <c r="V42">
        <v>0</v>
      </c>
      <c r="W42">
        <v>0</v>
      </c>
      <c r="X42">
        <v>99999999</v>
      </c>
      <c r="Y42">
        <v>0</v>
      </c>
      <c r="Z42">
        <v>0</v>
      </c>
      <c r="AA42" t="s">
        <v>244</v>
      </c>
      <c r="AB42" t="s">
        <v>244</v>
      </c>
      <c r="AC42">
        <v>0</v>
      </c>
    </row>
    <row r="43" spans="1:29" x14ac:dyDescent="0.25">
      <c r="A43">
        <v>3640</v>
      </c>
      <c r="B43" t="s">
        <v>385</v>
      </c>
      <c r="C43" s="9" t="s">
        <v>473</v>
      </c>
      <c r="D43" t="s">
        <v>317</v>
      </c>
      <c r="E43" t="s">
        <v>243</v>
      </c>
      <c r="F43">
        <v>0</v>
      </c>
      <c r="G43">
        <v>999999999</v>
      </c>
      <c r="H43">
        <v>52.59</v>
      </c>
      <c r="I43">
        <v>0</v>
      </c>
      <c r="J43">
        <v>0</v>
      </c>
      <c r="K43" t="s">
        <v>244</v>
      </c>
      <c r="L43" t="s">
        <v>425</v>
      </c>
      <c r="M43" t="s">
        <v>425</v>
      </c>
      <c r="O43" t="s">
        <v>244</v>
      </c>
      <c r="R43">
        <v>0</v>
      </c>
      <c r="S43">
        <v>0</v>
      </c>
      <c r="T43" t="s">
        <v>244</v>
      </c>
      <c r="U43" t="s">
        <v>244</v>
      </c>
      <c r="V43">
        <v>0</v>
      </c>
      <c r="W43">
        <v>0</v>
      </c>
      <c r="X43">
        <v>99999999</v>
      </c>
      <c r="Y43">
        <v>0</v>
      </c>
      <c r="Z43">
        <v>0</v>
      </c>
      <c r="AA43" t="s">
        <v>244</v>
      </c>
      <c r="AB43" t="s">
        <v>244</v>
      </c>
      <c r="AC43">
        <v>0</v>
      </c>
    </row>
    <row r="44" spans="1:29" x14ac:dyDescent="0.25">
      <c r="A44">
        <v>3640</v>
      </c>
      <c r="B44" t="s">
        <v>386</v>
      </c>
      <c r="C44" s="9" t="s">
        <v>473</v>
      </c>
      <c r="D44" t="s">
        <v>317</v>
      </c>
      <c r="E44" t="s">
        <v>243</v>
      </c>
      <c r="F44">
        <v>0</v>
      </c>
      <c r="G44">
        <v>999999999</v>
      </c>
      <c r="H44">
        <v>52.59</v>
      </c>
      <c r="I44">
        <v>0</v>
      </c>
      <c r="J44">
        <v>0</v>
      </c>
      <c r="K44" t="s">
        <v>244</v>
      </c>
      <c r="L44" t="s">
        <v>425</v>
      </c>
      <c r="M44" t="s">
        <v>425</v>
      </c>
      <c r="N44" t="s">
        <v>466</v>
      </c>
      <c r="O44" t="s">
        <v>244</v>
      </c>
      <c r="R44">
        <v>0</v>
      </c>
      <c r="S44">
        <v>0</v>
      </c>
      <c r="T44" t="s">
        <v>244</v>
      </c>
      <c r="U44" t="s">
        <v>244</v>
      </c>
      <c r="V44">
        <v>0</v>
      </c>
      <c r="W44">
        <v>0</v>
      </c>
      <c r="X44">
        <v>99999999</v>
      </c>
      <c r="Y44">
        <v>0</v>
      </c>
      <c r="Z44">
        <v>0</v>
      </c>
      <c r="AA44" t="s">
        <v>244</v>
      </c>
      <c r="AB44" t="s">
        <v>244</v>
      </c>
      <c r="AC44">
        <v>0</v>
      </c>
    </row>
    <row r="45" spans="1:29" x14ac:dyDescent="0.25">
      <c r="A45">
        <v>3640</v>
      </c>
      <c r="B45" t="s">
        <v>458</v>
      </c>
      <c r="C45" s="9" t="s">
        <v>473</v>
      </c>
      <c r="D45" t="s">
        <v>317</v>
      </c>
      <c r="E45" t="s">
        <v>243</v>
      </c>
      <c r="F45">
        <v>0</v>
      </c>
      <c r="G45">
        <v>999999999</v>
      </c>
      <c r="H45">
        <v>52.59</v>
      </c>
      <c r="I45">
        <v>0</v>
      </c>
      <c r="J45">
        <v>0</v>
      </c>
      <c r="K45" t="s">
        <v>244</v>
      </c>
      <c r="L45" t="s">
        <v>425</v>
      </c>
      <c r="M45" t="s">
        <v>425</v>
      </c>
      <c r="N45" t="s">
        <v>467</v>
      </c>
      <c r="O45" t="s">
        <v>244</v>
      </c>
      <c r="R45">
        <v>0</v>
      </c>
      <c r="S45">
        <v>0</v>
      </c>
      <c r="T45" t="s">
        <v>244</v>
      </c>
      <c r="U45" t="s">
        <v>244</v>
      </c>
      <c r="V45">
        <v>0</v>
      </c>
      <c r="W45">
        <v>0</v>
      </c>
      <c r="X45">
        <v>99999999</v>
      </c>
      <c r="Y45">
        <v>0</v>
      </c>
      <c r="Z45">
        <v>0</v>
      </c>
      <c r="AA45" t="s">
        <v>244</v>
      </c>
      <c r="AB45" t="s">
        <v>244</v>
      </c>
      <c r="AC45">
        <v>0</v>
      </c>
    </row>
    <row r="46" spans="1:29" x14ac:dyDescent="0.25">
      <c r="A46">
        <v>3640</v>
      </c>
      <c r="B46" t="s">
        <v>387</v>
      </c>
      <c r="C46" s="9" t="s">
        <v>473</v>
      </c>
      <c r="D46" t="s">
        <v>317</v>
      </c>
      <c r="E46" t="s">
        <v>243</v>
      </c>
      <c r="F46">
        <v>0</v>
      </c>
      <c r="G46">
        <v>999999999</v>
      </c>
      <c r="H46">
        <v>26.05</v>
      </c>
      <c r="I46">
        <v>0</v>
      </c>
      <c r="J46">
        <v>0</v>
      </c>
      <c r="K46" t="s">
        <v>244</v>
      </c>
      <c r="L46" t="s">
        <v>425</v>
      </c>
      <c r="M46" t="s">
        <v>425</v>
      </c>
      <c r="O46" t="s">
        <v>244</v>
      </c>
      <c r="R46">
        <v>0</v>
      </c>
      <c r="S46">
        <v>0</v>
      </c>
      <c r="T46" t="s">
        <v>244</v>
      </c>
      <c r="U46" t="s">
        <v>244</v>
      </c>
      <c r="V46">
        <v>0</v>
      </c>
      <c r="W46">
        <v>0</v>
      </c>
      <c r="X46">
        <v>99999999</v>
      </c>
      <c r="Y46">
        <v>0</v>
      </c>
      <c r="Z46">
        <v>0</v>
      </c>
      <c r="AA46" t="s">
        <v>244</v>
      </c>
      <c r="AB46" t="s">
        <v>244</v>
      </c>
      <c r="AC46">
        <v>0</v>
      </c>
    </row>
    <row r="47" spans="1:29" x14ac:dyDescent="0.25">
      <c r="A47">
        <v>3640</v>
      </c>
      <c r="B47" t="s">
        <v>388</v>
      </c>
      <c r="C47" s="9" t="s">
        <v>473</v>
      </c>
      <c r="D47" t="s">
        <v>317</v>
      </c>
      <c r="E47" t="s">
        <v>243</v>
      </c>
      <c r="F47">
        <v>0</v>
      </c>
      <c r="G47">
        <v>999999999</v>
      </c>
      <c r="H47">
        <v>39.07</v>
      </c>
      <c r="I47">
        <v>0</v>
      </c>
      <c r="J47">
        <v>0</v>
      </c>
      <c r="K47" t="s">
        <v>244</v>
      </c>
      <c r="L47" t="s">
        <v>425</v>
      </c>
      <c r="M47" t="s">
        <v>425</v>
      </c>
      <c r="O47" t="s">
        <v>244</v>
      </c>
      <c r="R47">
        <v>0</v>
      </c>
      <c r="S47">
        <v>0</v>
      </c>
      <c r="T47" t="s">
        <v>244</v>
      </c>
      <c r="U47" t="s">
        <v>244</v>
      </c>
      <c r="V47">
        <v>0</v>
      </c>
      <c r="W47">
        <v>0</v>
      </c>
      <c r="X47">
        <v>99999999</v>
      </c>
      <c r="Y47">
        <v>0</v>
      </c>
      <c r="Z47">
        <v>0</v>
      </c>
      <c r="AA47" t="s">
        <v>244</v>
      </c>
      <c r="AB47" t="s">
        <v>244</v>
      </c>
      <c r="AC47">
        <v>0</v>
      </c>
    </row>
    <row r="48" spans="1:29" x14ac:dyDescent="0.25">
      <c r="A48">
        <v>3640</v>
      </c>
      <c r="B48" t="s">
        <v>389</v>
      </c>
      <c r="C48" s="9" t="s">
        <v>473</v>
      </c>
      <c r="D48" t="s">
        <v>317</v>
      </c>
      <c r="E48" t="s">
        <v>243</v>
      </c>
      <c r="F48">
        <v>0</v>
      </c>
      <c r="G48">
        <v>999999999</v>
      </c>
      <c r="H48">
        <v>39.07</v>
      </c>
      <c r="I48">
        <v>0</v>
      </c>
      <c r="J48">
        <v>0</v>
      </c>
      <c r="K48" t="s">
        <v>244</v>
      </c>
      <c r="L48" t="s">
        <v>425</v>
      </c>
      <c r="M48" t="s">
        <v>425</v>
      </c>
      <c r="N48" t="s">
        <v>466</v>
      </c>
      <c r="O48" t="s">
        <v>244</v>
      </c>
      <c r="R48">
        <v>0</v>
      </c>
      <c r="S48">
        <v>0</v>
      </c>
      <c r="T48" t="s">
        <v>244</v>
      </c>
      <c r="U48" t="s">
        <v>244</v>
      </c>
      <c r="V48">
        <v>0</v>
      </c>
      <c r="W48">
        <v>0</v>
      </c>
      <c r="X48">
        <v>99999999</v>
      </c>
      <c r="Y48">
        <v>0</v>
      </c>
      <c r="Z48">
        <v>0</v>
      </c>
      <c r="AA48" t="s">
        <v>244</v>
      </c>
      <c r="AB48" t="s">
        <v>244</v>
      </c>
      <c r="AC48">
        <v>0</v>
      </c>
    </row>
    <row r="49" spans="1:29" x14ac:dyDescent="0.25">
      <c r="A49">
        <v>3640</v>
      </c>
      <c r="B49" t="s">
        <v>459</v>
      </c>
      <c r="C49" s="9" t="s">
        <v>473</v>
      </c>
      <c r="D49" t="s">
        <v>317</v>
      </c>
      <c r="E49" t="s">
        <v>243</v>
      </c>
      <c r="F49">
        <v>0</v>
      </c>
      <c r="G49">
        <v>999999999</v>
      </c>
      <c r="H49">
        <v>39.07</v>
      </c>
      <c r="I49">
        <v>0</v>
      </c>
      <c r="J49">
        <v>0</v>
      </c>
      <c r="K49" t="s">
        <v>244</v>
      </c>
      <c r="L49" t="s">
        <v>425</v>
      </c>
      <c r="M49" t="s">
        <v>425</v>
      </c>
      <c r="N49" t="s">
        <v>467</v>
      </c>
      <c r="O49" t="s">
        <v>244</v>
      </c>
      <c r="R49">
        <v>0</v>
      </c>
      <c r="S49">
        <v>0</v>
      </c>
      <c r="T49" t="s">
        <v>244</v>
      </c>
      <c r="U49" t="s">
        <v>244</v>
      </c>
      <c r="V49">
        <v>0</v>
      </c>
      <c r="W49">
        <v>0</v>
      </c>
      <c r="X49">
        <v>99999999</v>
      </c>
      <c r="Y49">
        <v>0</v>
      </c>
      <c r="Z49">
        <v>0</v>
      </c>
      <c r="AA49" t="s">
        <v>244</v>
      </c>
      <c r="AB49" t="s">
        <v>244</v>
      </c>
      <c r="AC49">
        <v>0</v>
      </c>
    </row>
    <row r="50" spans="1:29" x14ac:dyDescent="0.25">
      <c r="A50">
        <v>3640</v>
      </c>
      <c r="B50" t="s">
        <v>390</v>
      </c>
      <c r="C50" s="9" t="s">
        <v>473</v>
      </c>
      <c r="D50" t="s">
        <v>317</v>
      </c>
      <c r="E50" t="s">
        <v>243</v>
      </c>
      <c r="F50">
        <v>0</v>
      </c>
      <c r="G50">
        <v>999999999</v>
      </c>
      <c r="H50">
        <v>26.05</v>
      </c>
      <c r="I50">
        <v>0</v>
      </c>
      <c r="J50">
        <v>0</v>
      </c>
      <c r="K50" t="s">
        <v>244</v>
      </c>
      <c r="L50" t="s">
        <v>425</v>
      </c>
      <c r="M50" t="s">
        <v>425</v>
      </c>
      <c r="O50" t="s">
        <v>244</v>
      </c>
      <c r="R50">
        <v>0</v>
      </c>
      <c r="S50">
        <v>0</v>
      </c>
      <c r="T50" t="s">
        <v>244</v>
      </c>
      <c r="U50" t="s">
        <v>244</v>
      </c>
      <c r="V50">
        <v>0</v>
      </c>
      <c r="W50">
        <v>0</v>
      </c>
      <c r="X50">
        <v>99999999</v>
      </c>
      <c r="Y50">
        <v>0</v>
      </c>
      <c r="Z50">
        <v>0</v>
      </c>
      <c r="AA50" t="s">
        <v>244</v>
      </c>
      <c r="AB50" t="s">
        <v>244</v>
      </c>
      <c r="AC50">
        <v>0</v>
      </c>
    </row>
    <row r="51" spans="1:29" x14ac:dyDescent="0.25">
      <c r="A51">
        <v>3640</v>
      </c>
      <c r="B51" t="s">
        <v>391</v>
      </c>
      <c r="C51" s="9" t="s">
        <v>473</v>
      </c>
      <c r="D51" t="s">
        <v>317</v>
      </c>
      <c r="E51" t="s">
        <v>243</v>
      </c>
      <c r="F51">
        <v>0</v>
      </c>
      <c r="G51">
        <v>999999999</v>
      </c>
      <c r="H51">
        <v>39.07</v>
      </c>
      <c r="I51">
        <v>0</v>
      </c>
      <c r="J51">
        <v>0</v>
      </c>
      <c r="K51" t="s">
        <v>244</v>
      </c>
      <c r="L51" t="s">
        <v>425</v>
      </c>
      <c r="M51" t="s">
        <v>425</v>
      </c>
      <c r="O51" t="s">
        <v>244</v>
      </c>
      <c r="R51">
        <v>0</v>
      </c>
      <c r="S51">
        <v>0</v>
      </c>
      <c r="T51" t="s">
        <v>244</v>
      </c>
      <c r="U51" t="s">
        <v>244</v>
      </c>
      <c r="V51">
        <v>0</v>
      </c>
      <c r="W51">
        <v>0</v>
      </c>
      <c r="X51">
        <v>99999999</v>
      </c>
      <c r="Y51">
        <v>0</v>
      </c>
      <c r="Z51">
        <v>0</v>
      </c>
      <c r="AA51" t="s">
        <v>244</v>
      </c>
      <c r="AB51" t="s">
        <v>244</v>
      </c>
      <c r="AC51">
        <v>0</v>
      </c>
    </row>
    <row r="52" spans="1:29" x14ac:dyDescent="0.25">
      <c r="A52">
        <v>3640</v>
      </c>
      <c r="B52" t="s">
        <v>392</v>
      </c>
      <c r="C52" s="9" t="s">
        <v>473</v>
      </c>
      <c r="D52" t="s">
        <v>317</v>
      </c>
      <c r="E52" t="s">
        <v>243</v>
      </c>
      <c r="F52">
        <v>0</v>
      </c>
      <c r="G52">
        <v>999999999</v>
      </c>
      <c r="H52">
        <v>39.07</v>
      </c>
      <c r="I52">
        <v>0</v>
      </c>
      <c r="J52">
        <v>0</v>
      </c>
      <c r="K52" t="s">
        <v>244</v>
      </c>
      <c r="L52" t="s">
        <v>425</v>
      </c>
      <c r="M52" t="s">
        <v>425</v>
      </c>
      <c r="N52" t="s">
        <v>466</v>
      </c>
      <c r="O52" t="s">
        <v>244</v>
      </c>
      <c r="R52">
        <v>0</v>
      </c>
      <c r="S52">
        <v>0</v>
      </c>
      <c r="T52" t="s">
        <v>244</v>
      </c>
      <c r="U52" t="s">
        <v>244</v>
      </c>
      <c r="V52">
        <v>0</v>
      </c>
      <c r="W52">
        <v>0</v>
      </c>
      <c r="X52">
        <v>99999999</v>
      </c>
      <c r="Y52">
        <v>0</v>
      </c>
      <c r="Z52">
        <v>0</v>
      </c>
      <c r="AA52" t="s">
        <v>244</v>
      </c>
      <c r="AB52" t="s">
        <v>244</v>
      </c>
      <c r="AC52">
        <v>0</v>
      </c>
    </row>
    <row r="53" spans="1:29" x14ac:dyDescent="0.25">
      <c r="A53">
        <v>3640</v>
      </c>
      <c r="B53" t="s">
        <v>460</v>
      </c>
      <c r="C53" s="9" t="s">
        <v>473</v>
      </c>
      <c r="D53" t="s">
        <v>317</v>
      </c>
      <c r="E53" t="s">
        <v>243</v>
      </c>
      <c r="F53">
        <v>0</v>
      </c>
      <c r="G53">
        <v>999999999</v>
      </c>
      <c r="H53">
        <v>39.07</v>
      </c>
      <c r="I53">
        <v>0</v>
      </c>
      <c r="J53">
        <v>0</v>
      </c>
      <c r="K53" t="s">
        <v>244</v>
      </c>
      <c r="L53" t="s">
        <v>425</v>
      </c>
      <c r="M53" t="s">
        <v>425</v>
      </c>
      <c r="N53" t="s">
        <v>467</v>
      </c>
      <c r="O53" t="s">
        <v>244</v>
      </c>
      <c r="R53">
        <v>0</v>
      </c>
      <c r="S53">
        <v>0</v>
      </c>
      <c r="T53" t="s">
        <v>244</v>
      </c>
      <c r="U53" t="s">
        <v>244</v>
      </c>
      <c r="V53">
        <v>0</v>
      </c>
      <c r="W53">
        <v>0</v>
      </c>
      <c r="X53">
        <v>99999999</v>
      </c>
      <c r="Y53">
        <v>0</v>
      </c>
      <c r="Z53">
        <v>0</v>
      </c>
      <c r="AA53" t="s">
        <v>244</v>
      </c>
      <c r="AB53" t="s">
        <v>244</v>
      </c>
      <c r="AC53">
        <v>0</v>
      </c>
    </row>
    <row r="54" spans="1:29" x14ac:dyDescent="0.25">
      <c r="A54">
        <v>4400</v>
      </c>
      <c r="B54" t="s">
        <v>393</v>
      </c>
      <c r="C54" s="9" t="s">
        <v>473</v>
      </c>
      <c r="D54" t="s">
        <v>325</v>
      </c>
      <c r="E54" t="s">
        <v>243</v>
      </c>
      <c r="F54">
        <v>0</v>
      </c>
      <c r="G54">
        <v>999999999</v>
      </c>
      <c r="H54">
        <v>12.32</v>
      </c>
      <c r="I54">
        <v>0</v>
      </c>
      <c r="J54">
        <v>0</v>
      </c>
      <c r="K54" t="s">
        <v>244</v>
      </c>
      <c r="L54" t="s">
        <v>425</v>
      </c>
      <c r="M54" t="s">
        <v>425</v>
      </c>
      <c r="O54" t="s">
        <v>244</v>
      </c>
      <c r="R54">
        <v>0</v>
      </c>
      <c r="S54">
        <v>0</v>
      </c>
      <c r="T54" t="s">
        <v>244</v>
      </c>
      <c r="U54" t="s">
        <v>244</v>
      </c>
      <c r="V54">
        <v>0</v>
      </c>
      <c r="W54">
        <v>0</v>
      </c>
      <c r="X54">
        <v>99999999</v>
      </c>
      <c r="Y54">
        <v>0</v>
      </c>
      <c r="Z54">
        <v>0</v>
      </c>
      <c r="AA54" t="s">
        <v>244</v>
      </c>
      <c r="AB54" t="s">
        <v>244</v>
      </c>
      <c r="AC54">
        <v>0</v>
      </c>
    </row>
    <row r="55" spans="1:29" x14ac:dyDescent="0.25">
      <c r="A55">
        <v>1402</v>
      </c>
      <c r="B55" t="s">
        <v>454</v>
      </c>
      <c r="C55" s="9" t="s">
        <v>473</v>
      </c>
      <c r="D55" t="s">
        <v>439</v>
      </c>
      <c r="E55" t="s">
        <v>243</v>
      </c>
      <c r="F55">
        <v>0</v>
      </c>
      <c r="G55">
        <v>999999999</v>
      </c>
      <c r="H55">
        <v>51.32</v>
      </c>
      <c r="I55">
        <v>0</v>
      </c>
      <c r="J55">
        <v>0</v>
      </c>
      <c r="K55" t="s">
        <v>244</v>
      </c>
      <c r="L55" t="s">
        <v>425</v>
      </c>
      <c r="M55" t="s">
        <v>425</v>
      </c>
      <c r="O55" t="s">
        <v>244</v>
      </c>
      <c r="R55">
        <v>0</v>
      </c>
      <c r="S55">
        <v>0</v>
      </c>
      <c r="T55" t="s">
        <v>244</v>
      </c>
      <c r="U55" t="s">
        <v>244</v>
      </c>
      <c r="V55">
        <v>0</v>
      </c>
      <c r="W55">
        <v>0</v>
      </c>
      <c r="X55">
        <v>99999999</v>
      </c>
      <c r="Y55">
        <v>0</v>
      </c>
      <c r="Z55">
        <v>0</v>
      </c>
      <c r="AA55" t="s">
        <v>244</v>
      </c>
      <c r="AB55" t="s">
        <v>244</v>
      </c>
      <c r="AC55">
        <v>0</v>
      </c>
    </row>
    <row r="56" spans="1:29" x14ac:dyDescent="0.25">
      <c r="A56">
        <v>3330</v>
      </c>
      <c r="B56" t="s">
        <v>394</v>
      </c>
      <c r="C56" s="9" t="s">
        <v>473</v>
      </c>
      <c r="D56" t="s">
        <v>325</v>
      </c>
      <c r="E56" t="s">
        <v>243</v>
      </c>
      <c r="F56">
        <v>0</v>
      </c>
      <c r="G56">
        <v>999999999</v>
      </c>
      <c r="H56">
        <v>573.70000000000005</v>
      </c>
      <c r="I56">
        <v>0</v>
      </c>
      <c r="J56">
        <v>0</v>
      </c>
      <c r="K56" t="s">
        <v>244</v>
      </c>
      <c r="L56" t="s">
        <v>425</v>
      </c>
      <c r="M56" t="s">
        <v>425</v>
      </c>
      <c r="O56" t="s">
        <v>244</v>
      </c>
      <c r="R56">
        <v>0</v>
      </c>
      <c r="S56">
        <v>0</v>
      </c>
      <c r="T56" t="s">
        <v>244</v>
      </c>
      <c r="U56" t="s">
        <v>244</v>
      </c>
      <c r="V56">
        <v>0</v>
      </c>
      <c r="W56">
        <v>0</v>
      </c>
      <c r="X56">
        <v>99999999</v>
      </c>
      <c r="Y56">
        <v>0</v>
      </c>
      <c r="Z56">
        <v>0</v>
      </c>
      <c r="AA56" t="s">
        <v>244</v>
      </c>
      <c r="AB56" t="s">
        <v>244</v>
      </c>
      <c r="AC56">
        <v>0</v>
      </c>
    </row>
    <row r="57" spans="1:29" x14ac:dyDescent="0.25">
      <c r="A57">
        <v>4400</v>
      </c>
      <c r="B57" t="s">
        <v>395</v>
      </c>
      <c r="C57" s="9" t="s">
        <v>473</v>
      </c>
      <c r="D57" t="s">
        <v>325</v>
      </c>
      <c r="E57" t="s">
        <v>243</v>
      </c>
      <c r="F57">
        <v>0</v>
      </c>
      <c r="G57">
        <v>999999999</v>
      </c>
      <c r="H57">
        <v>82.03</v>
      </c>
      <c r="I57">
        <v>0</v>
      </c>
      <c r="J57">
        <v>0</v>
      </c>
      <c r="K57" t="s">
        <v>244</v>
      </c>
      <c r="L57" t="s">
        <v>425</v>
      </c>
      <c r="M57" t="s">
        <v>425</v>
      </c>
      <c r="O57" t="s">
        <v>244</v>
      </c>
      <c r="R57">
        <v>0</v>
      </c>
      <c r="S57">
        <v>0</v>
      </c>
      <c r="T57" t="s">
        <v>244</v>
      </c>
      <c r="U57" t="s">
        <v>244</v>
      </c>
      <c r="V57">
        <v>0</v>
      </c>
      <c r="W57">
        <v>0</v>
      </c>
      <c r="X57">
        <v>99999999</v>
      </c>
      <c r="Y57">
        <v>0</v>
      </c>
      <c r="Z57">
        <v>0</v>
      </c>
      <c r="AA57" t="s">
        <v>244</v>
      </c>
      <c r="AB57" t="s">
        <v>244</v>
      </c>
      <c r="AC57">
        <v>0</v>
      </c>
    </row>
    <row r="58" spans="1:29" x14ac:dyDescent="0.25">
      <c r="A58">
        <v>3330</v>
      </c>
      <c r="B58" t="s">
        <v>396</v>
      </c>
      <c r="C58" s="9" t="s">
        <v>473</v>
      </c>
      <c r="D58" t="s">
        <v>325</v>
      </c>
      <c r="E58" t="s">
        <v>243</v>
      </c>
      <c r="F58">
        <v>0</v>
      </c>
      <c r="G58">
        <v>999999999</v>
      </c>
      <c r="H58">
        <v>615.78</v>
      </c>
      <c r="I58">
        <v>0</v>
      </c>
      <c r="J58">
        <v>0</v>
      </c>
      <c r="K58" t="s">
        <v>244</v>
      </c>
      <c r="L58" t="s">
        <v>425</v>
      </c>
      <c r="M58" t="s">
        <v>425</v>
      </c>
      <c r="N58" t="s">
        <v>434</v>
      </c>
      <c r="O58" t="s">
        <v>244</v>
      </c>
      <c r="R58">
        <v>0</v>
      </c>
      <c r="S58">
        <v>0</v>
      </c>
      <c r="T58" t="s">
        <v>244</v>
      </c>
      <c r="U58" t="s">
        <v>244</v>
      </c>
      <c r="V58">
        <v>0</v>
      </c>
      <c r="W58">
        <v>0</v>
      </c>
      <c r="X58">
        <v>99999999</v>
      </c>
      <c r="Y58">
        <v>0</v>
      </c>
      <c r="Z58">
        <v>0</v>
      </c>
      <c r="AA58" t="s">
        <v>244</v>
      </c>
      <c r="AB58" t="s">
        <v>244</v>
      </c>
      <c r="AC58">
        <v>0</v>
      </c>
    </row>
    <row r="59" spans="1:29" x14ac:dyDescent="0.25">
      <c r="A59">
        <v>3776</v>
      </c>
      <c r="B59" t="s">
        <v>397</v>
      </c>
      <c r="C59" s="9" t="s">
        <v>473</v>
      </c>
      <c r="D59" t="s">
        <v>325</v>
      </c>
      <c r="E59" t="s">
        <v>243</v>
      </c>
      <c r="F59">
        <v>0</v>
      </c>
      <c r="G59">
        <v>999999999</v>
      </c>
      <c r="H59">
        <v>431.05</v>
      </c>
      <c r="I59">
        <v>0</v>
      </c>
      <c r="J59">
        <v>0</v>
      </c>
      <c r="K59" t="s">
        <v>244</v>
      </c>
      <c r="L59" t="s">
        <v>425</v>
      </c>
      <c r="M59" t="s">
        <v>425</v>
      </c>
      <c r="N59" t="s">
        <v>435</v>
      </c>
      <c r="O59" t="s">
        <v>244</v>
      </c>
      <c r="R59">
        <v>0</v>
      </c>
      <c r="S59">
        <v>0</v>
      </c>
      <c r="T59" t="s">
        <v>244</v>
      </c>
      <c r="U59" t="s">
        <v>244</v>
      </c>
      <c r="V59">
        <v>0</v>
      </c>
      <c r="W59">
        <v>0</v>
      </c>
      <c r="X59">
        <v>99999999</v>
      </c>
      <c r="Y59">
        <v>0</v>
      </c>
      <c r="Z59">
        <v>0</v>
      </c>
      <c r="AA59" t="s">
        <v>244</v>
      </c>
      <c r="AB59" t="s">
        <v>244</v>
      </c>
      <c r="AC59">
        <v>0</v>
      </c>
    </row>
    <row r="60" spans="1:29" x14ac:dyDescent="0.25">
      <c r="A60">
        <v>3640</v>
      </c>
      <c r="B60" t="s">
        <v>475</v>
      </c>
      <c r="C60" s="9" t="s">
        <v>473</v>
      </c>
      <c r="D60" t="s">
        <v>469</v>
      </c>
      <c r="E60" t="s">
        <v>243</v>
      </c>
      <c r="F60">
        <v>0</v>
      </c>
      <c r="G60">
        <v>999999999</v>
      </c>
      <c r="H60">
        <v>1.03</v>
      </c>
      <c r="I60">
        <v>0</v>
      </c>
      <c r="J60">
        <v>0</v>
      </c>
      <c r="K60" t="s">
        <v>244</v>
      </c>
      <c r="L60" t="s">
        <v>425</v>
      </c>
      <c r="M60" t="s">
        <v>425</v>
      </c>
      <c r="O60" t="s">
        <v>244</v>
      </c>
      <c r="R60">
        <v>0</v>
      </c>
      <c r="S60">
        <v>0</v>
      </c>
      <c r="T60" t="s">
        <v>244</v>
      </c>
      <c r="U60" t="s">
        <v>244</v>
      </c>
      <c r="V60">
        <v>0</v>
      </c>
      <c r="W60">
        <v>0</v>
      </c>
      <c r="X60">
        <v>99999999</v>
      </c>
      <c r="Y60">
        <v>0</v>
      </c>
      <c r="Z60">
        <v>0</v>
      </c>
      <c r="AA60" t="s">
        <v>244</v>
      </c>
      <c r="AB60" t="s">
        <v>244</v>
      </c>
      <c r="AC60">
        <v>0</v>
      </c>
    </row>
    <row r="61" spans="1:29" x14ac:dyDescent="0.25">
      <c r="A61">
        <v>1403</v>
      </c>
      <c r="B61" t="s">
        <v>398</v>
      </c>
      <c r="C61" s="9" t="s">
        <v>473</v>
      </c>
      <c r="D61" t="s">
        <v>326</v>
      </c>
      <c r="E61" t="s">
        <v>243</v>
      </c>
      <c r="F61">
        <v>0</v>
      </c>
      <c r="G61">
        <v>999999999</v>
      </c>
      <c r="H61">
        <v>821.04</v>
      </c>
      <c r="I61">
        <v>0</v>
      </c>
      <c r="J61">
        <v>0</v>
      </c>
      <c r="K61" t="s">
        <v>244</v>
      </c>
      <c r="L61" t="s">
        <v>425</v>
      </c>
      <c r="M61" t="s">
        <v>425</v>
      </c>
      <c r="O61" t="s">
        <v>244</v>
      </c>
      <c r="R61">
        <v>0</v>
      </c>
      <c r="S61">
        <v>0</v>
      </c>
      <c r="T61" t="s">
        <v>244</v>
      </c>
      <c r="U61" t="s">
        <v>244</v>
      </c>
      <c r="V61">
        <v>0</v>
      </c>
      <c r="W61">
        <v>0</v>
      </c>
      <c r="X61">
        <v>99999999</v>
      </c>
      <c r="Y61">
        <v>0</v>
      </c>
      <c r="Z61">
        <v>0</v>
      </c>
      <c r="AA61" t="s">
        <v>244</v>
      </c>
      <c r="AB61" t="s">
        <v>244</v>
      </c>
      <c r="AC61">
        <v>0</v>
      </c>
    </row>
    <row r="62" spans="1:29" x14ac:dyDescent="0.25">
      <c r="A62">
        <v>1403</v>
      </c>
      <c r="B62" t="s">
        <v>399</v>
      </c>
      <c r="C62" s="9" t="s">
        <v>473</v>
      </c>
      <c r="D62" t="s">
        <v>326</v>
      </c>
      <c r="E62" t="s">
        <v>243</v>
      </c>
      <c r="F62">
        <v>0</v>
      </c>
      <c r="G62">
        <v>999999999</v>
      </c>
      <c r="H62">
        <v>2052.6</v>
      </c>
      <c r="I62">
        <v>0</v>
      </c>
      <c r="J62">
        <v>0</v>
      </c>
      <c r="K62" t="s">
        <v>244</v>
      </c>
      <c r="L62" t="s">
        <v>425</v>
      </c>
      <c r="M62" t="s">
        <v>425</v>
      </c>
      <c r="O62" t="s">
        <v>244</v>
      </c>
      <c r="R62">
        <v>0</v>
      </c>
      <c r="S62">
        <v>0</v>
      </c>
      <c r="T62" t="s">
        <v>244</v>
      </c>
      <c r="U62" t="s">
        <v>244</v>
      </c>
      <c r="V62">
        <v>0</v>
      </c>
      <c r="W62">
        <v>0</v>
      </c>
      <c r="X62">
        <v>99999999</v>
      </c>
      <c r="Y62">
        <v>0</v>
      </c>
      <c r="Z62">
        <v>0</v>
      </c>
      <c r="AA62" t="s">
        <v>244</v>
      </c>
      <c r="AB62" t="s">
        <v>244</v>
      </c>
      <c r="AC62">
        <v>0</v>
      </c>
    </row>
    <row r="63" spans="1:29" x14ac:dyDescent="0.25">
      <c r="A63">
        <v>1403</v>
      </c>
      <c r="B63" t="s">
        <v>400</v>
      </c>
      <c r="C63" s="9" t="s">
        <v>473</v>
      </c>
      <c r="D63" t="s">
        <v>325</v>
      </c>
      <c r="E63" t="s">
        <v>243</v>
      </c>
      <c r="F63">
        <v>0</v>
      </c>
      <c r="G63">
        <v>999999999</v>
      </c>
      <c r="H63">
        <v>615.78</v>
      </c>
      <c r="I63">
        <v>0</v>
      </c>
      <c r="J63">
        <v>0</v>
      </c>
      <c r="K63" t="s">
        <v>244</v>
      </c>
      <c r="L63" t="s">
        <v>425</v>
      </c>
      <c r="M63" t="s">
        <v>425</v>
      </c>
      <c r="O63" t="s">
        <v>244</v>
      </c>
      <c r="R63">
        <v>0</v>
      </c>
      <c r="S63">
        <v>0</v>
      </c>
      <c r="T63" t="s">
        <v>244</v>
      </c>
      <c r="U63" t="s">
        <v>244</v>
      </c>
      <c r="V63">
        <v>0</v>
      </c>
      <c r="W63">
        <v>0</v>
      </c>
      <c r="X63">
        <v>99999999</v>
      </c>
      <c r="Y63">
        <v>0</v>
      </c>
      <c r="Z63">
        <v>0</v>
      </c>
      <c r="AA63" t="s">
        <v>244</v>
      </c>
      <c r="AB63" t="s">
        <v>244</v>
      </c>
      <c r="AC63">
        <v>0</v>
      </c>
    </row>
    <row r="64" spans="1:29" x14ac:dyDescent="0.25">
      <c r="A64">
        <v>3640</v>
      </c>
      <c r="B64" t="s">
        <v>461</v>
      </c>
      <c r="C64" s="9" t="s">
        <v>473</v>
      </c>
      <c r="D64" t="s">
        <v>325</v>
      </c>
      <c r="E64" t="s">
        <v>243</v>
      </c>
      <c r="F64">
        <v>0</v>
      </c>
      <c r="G64">
        <v>999999999</v>
      </c>
      <c r="H64">
        <v>82.03</v>
      </c>
      <c r="I64">
        <v>0</v>
      </c>
      <c r="J64">
        <v>0</v>
      </c>
      <c r="K64" t="s">
        <v>244</v>
      </c>
      <c r="L64" t="s">
        <v>425</v>
      </c>
      <c r="M64" t="s">
        <v>425</v>
      </c>
      <c r="O64" t="s">
        <v>244</v>
      </c>
      <c r="R64">
        <v>0</v>
      </c>
      <c r="S64">
        <v>0</v>
      </c>
      <c r="T64" t="s">
        <v>244</v>
      </c>
      <c r="U64" t="s">
        <v>244</v>
      </c>
      <c r="V64">
        <v>0</v>
      </c>
      <c r="W64">
        <v>0</v>
      </c>
      <c r="X64">
        <v>99999999</v>
      </c>
      <c r="Y64">
        <v>0</v>
      </c>
      <c r="Z64">
        <v>0</v>
      </c>
      <c r="AA64" t="s">
        <v>244</v>
      </c>
      <c r="AB64" t="s">
        <v>244</v>
      </c>
      <c r="AC64">
        <v>0</v>
      </c>
    </row>
    <row r="65" spans="1:29" x14ac:dyDescent="0.25">
      <c r="A65">
        <v>3700</v>
      </c>
      <c r="B65" s="12" t="s">
        <v>401</v>
      </c>
      <c r="C65" s="9" t="s">
        <v>473</v>
      </c>
      <c r="D65" t="s">
        <v>439</v>
      </c>
      <c r="E65" t="s">
        <v>243</v>
      </c>
      <c r="F65">
        <v>0</v>
      </c>
      <c r="G65">
        <v>999999999</v>
      </c>
      <c r="H65">
        <v>30.79</v>
      </c>
      <c r="I65">
        <v>0</v>
      </c>
      <c r="J65">
        <v>0</v>
      </c>
      <c r="K65" t="s">
        <v>244</v>
      </c>
      <c r="L65" t="s">
        <v>425</v>
      </c>
      <c r="M65" t="s">
        <v>425</v>
      </c>
      <c r="O65" t="s">
        <v>244</v>
      </c>
      <c r="R65">
        <v>0</v>
      </c>
      <c r="S65">
        <v>0</v>
      </c>
      <c r="T65" t="s">
        <v>244</v>
      </c>
      <c r="U65" t="s">
        <v>244</v>
      </c>
      <c r="V65">
        <v>0</v>
      </c>
      <c r="W65">
        <v>0</v>
      </c>
      <c r="X65">
        <v>99999999</v>
      </c>
      <c r="Y65">
        <v>0</v>
      </c>
      <c r="Z65">
        <v>0</v>
      </c>
      <c r="AA65" t="s">
        <v>244</v>
      </c>
      <c r="AB65" t="s">
        <v>244</v>
      </c>
      <c r="AC65">
        <v>0</v>
      </c>
    </row>
    <row r="66" spans="1:29" x14ac:dyDescent="0.25">
      <c r="A66">
        <v>3700</v>
      </c>
      <c r="B66" s="12" t="s">
        <v>402</v>
      </c>
      <c r="C66" s="9" t="s">
        <v>473</v>
      </c>
      <c r="D66" t="s">
        <v>439</v>
      </c>
      <c r="E66" t="s">
        <v>243</v>
      </c>
      <c r="F66">
        <v>0</v>
      </c>
      <c r="G66">
        <v>999999999</v>
      </c>
      <c r="H66">
        <v>230.92</v>
      </c>
      <c r="I66">
        <v>0</v>
      </c>
      <c r="J66">
        <v>0</v>
      </c>
      <c r="K66" t="s">
        <v>244</v>
      </c>
      <c r="L66" t="s">
        <v>425</v>
      </c>
      <c r="M66" t="s">
        <v>425</v>
      </c>
      <c r="O66" t="s">
        <v>244</v>
      </c>
      <c r="R66">
        <v>0</v>
      </c>
      <c r="S66">
        <v>0</v>
      </c>
      <c r="T66" t="s">
        <v>244</v>
      </c>
      <c r="U66" t="s">
        <v>244</v>
      </c>
      <c r="V66">
        <v>0</v>
      </c>
      <c r="W66">
        <v>0</v>
      </c>
      <c r="X66">
        <v>99999999</v>
      </c>
      <c r="Y66">
        <v>0</v>
      </c>
      <c r="Z66">
        <v>0</v>
      </c>
      <c r="AA66" t="s">
        <v>244</v>
      </c>
      <c r="AB66" t="s">
        <v>244</v>
      </c>
      <c r="AC66">
        <v>0</v>
      </c>
    </row>
    <row r="67" spans="1:29" x14ac:dyDescent="0.25">
      <c r="A67">
        <v>1402</v>
      </c>
      <c r="B67" t="s">
        <v>455</v>
      </c>
      <c r="C67" s="9" t="s">
        <v>473</v>
      </c>
      <c r="D67" t="s">
        <v>321</v>
      </c>
      <c r="E67" t="s">
        <v>243</v>
      </c>
      <c r="F67">
        <v>0</v>
      </c>
      <c r="G67">
        <v>999999999</v>
      </c>
      <c r="H67">
        <v>256.58</v>
      </c>
      <c r="I67">
        <v>0</v>
      </c>
      <c r="J67">
        <v>0</v>
      </c>
      <c r="K67" t="s">
        <v>244</v>
      </c>
      <c r="L67" t="s">
        <v>425</v>
      </c>
      <c r="M67" t="s">
        <v>425</v>
      </c>
      <c r="O67" t="s">
        <v>244</v>
      </c>
      <c r="R67">
        <v>0</v>
      </c>
      <c r="S67">
        <v>0</v>
      </c>
      <c r="T67" t="s">
        <v>244</v>
      </c>
      <c r="U67" t="s">
        <v>244</v>
      </c>
      <c r="V67">
        <v>0</v>
      </c>
      <c r="W67">
        <v>0</v>
      </c>
      <c r="X67">
        <v>99999999</v>
      </c>
      <c r="Y67">
        <v>0</v>
      </c>
      <c r="Z67">
        <v>0</v>
      </c>
      <c r="AA67" t="s">
        <v>244</v>
      </c>
      <c r="AB67" t="s">
        <v>244</v>
      </c>
      <c r="AC67">
        <v>0</v>
      </c>
    </row>
    <row r="68" spans="1:29" x14ac:dyDescent="0.25">
      <c r="A68">
        <v>3560</v>
      </c>
      <c r="B68" t="s">
        <v>403</v>
      </c>
      <c r="C68" s="9" t="s">
        <v>473</v>
      </c>
      <c r="D68" t="s">
        <v>328</v>
      </c>
      <c r="E68" t="s">
        <v>243</v>
      </c>
      <c r="F68">
        <v>0</v>
      </c>
      <c r="G68">
        <v>999999999</v>
      </c>
      <c r="H68">
        <v>142.66</v>
      </c>
      <c r="I68">
        <v>0</v>
      </c>
      <c r="J68">
        <v>0</v>
      </c>
      <c r="K68" t="s">
        <v>244</v>
      </c>
      <c r="L68" t="s">
        <v>425</v>
      </c>
      <c r="M68" t="s">
        <v>425</v>
      </c>
      <c r="O68" t="s">
        <v>244</v>
      </c>
      <c r="R68">
        <v>0</v>
      </c>
      <c r="S68">
        <v>0</v>
      </c>
      <c r="T68" t="s">
        <v>244</v>
      </c>
      <c r="U68" t="s">
        <v>244</v>
      </c>
      <c r="V68">
        <v>0</v>
      </c>
      <c r="W68">
        <v>0</v>
      </c>
      <c r="X68">
        <v>99999999</v>
      </c>
      <c r="Y68">
        <v>0</v>
      </c>
      <c r="Z68">
        <v>0</v>
      </c>
      <c r="AA68" t="s">
        <v>244</v>
      </c>
      <c r="AB68" t="s">
        <v>244</v>
      </c>
      <c r="AC68">
        <v>0</v>
      </c>
    </row>
    <row r="69" spans="1:29" x14ac:dyDescent="0.25">
      <c r="A69">
        <v>3640</v>
      </c>
      <c r="B69" t="s">
        <v>404</v>
      </c>
      <c r="C69" s="9" t="s">
        <v>473</v>
      </c>
      <c r="D69" t="s">
        <v>326</v>
      </c>
      <c r="E69" t="s">
        <v>243</v>
      </c>
      <c r="F69">
        <v>0</v>
      </c>
      <c r="G69">
        <v>999999999</v>
      </c>
      <c r="H69">
        <v>2.0499999999999998</v>
      </c>
      <c r="I69">
        <v>0</v>
      </c>
      <c r="J69">
        <v>0</v>
      </c>
      <c r="K69" t="s">
        <v>244</v>
      </c>
      <c r="L69" t="s">
        <v>425</v>
      </c>
      <c r="M69" t="s">
        <v>425</v>
      </c>
      <c r="N69" t="s">
        <v>436</v>
      </c>
      <c r="O69" t="s">
        <v>244</v>
      </c>
      <c r="R69">
        <v>0</v>
      </c>
      <c r="S69">
        <v>0</v>
      </c>
      <c r="T69" t="s">
        <v>244</v>
      </c>
      <c r="U69" t="s">
        <v>244</v>
      </c>
      <c r="V69">
        <v>0</v>
      </c>
      <c r="W69">
        <v>0</v>
      </c>
      <c r="X69">
        <v>99999999</v>
      </c>
      <c r="Y69">
        <v>0</v>
      </c>
      <c r="Z69">
        <v>0</v>
      </c>
      <c r="AA69" t="s">
        <v>244</v>
      </c>
      <c r="AB69" t="s">
        <v>244</v>
      </c>
      <c r="AC69">
        <v>0</v>
      </c>
    </row>
    <row r="70" spans="1:29" x14ac:dyDescent="0.25">
      <c r="A70">
        <v>3640</v>
      </c>
      <c r="B70" t="s">
        <v>440</v>
      </c>
      <c r="C70" s="9" t="s">
        <v>473</v>
      </c>
      <c r="D70" t="s">
        <v>324</v>
      </c>
      <c r="E70" t="s">
        <v>243</v>
      </c>
      <c r="F70">
        <v>0</v>
      </c>
      <c r="G70">
        <v>999999999</v>
      </c>
      <c r="H70">
        <v>3.85</v>
      </c>
      <c r="I70">
        <v>0</v>
      </c>
      <c r="J70">
        <v>0</v>
      </c>
      <c r="K70" t="s">
        <v>244</v>
      </c>
      <c r="L70" t="s">
        <v>425</v>
      </c>
      <c r="M70" t="s">
        <v>425</v>
      </c>
      <c r="O70" t="s">
        <v>244</v>
      </c>
      <c r="R70">
        <v>0</v>
      </c>
      <c r="S70">
        <v>0</v>
      </c>
      <c r="T70" t="s">
        <v>244</v>
      </c>
      <c r="U70" t="s">
        <v>244</v>
      </c>
      <c r="V70">
        <v>0</v>
      </c>
      <c r="W70">
        <v>0</v>
      </c>
      <c r="X70">
        <v>99999999</v>
      </c>
      <c r="Y70">
        <v>0</v>
      </c>
      <c r="Z70">
        <v>0</v>
      </c>
      <c r="AA70" t="s">
        <v>244</v>
      </c>
      <c r="AB70" t="s">
        <v>244</v>
      </c>
      <c r="AC70">
        <v>0</v>
      </c>
    </row>
    <row r="71" spans="1:29" x14ac:dyDescent="0.25">
      <c r="A71">
        <v>3310</v>
      </c>
      <c r="B71" t="s">
        <v>405</v>
      </c>
      <c r="C71" s="9" t="s">
        <v>473</v>
      </c>
      <c r="D71" t="s">
        <v>319</v>
      </c>
      <c r="E71" t="s">
        <v>243</v>
      </c>
      <c r="F71">
        <v>0</v>
      </c>
      <c r="G71">
        <v>999999999</v>
      </c>
      <c r="H71">
        <v>5.47</v>
      </c>
      <c r="I71">
        <v>0</v>
      </c>
      <c r="J71">
        <v>0</v>
      </c>
      <c r="K71" t="s">
        <v>244</v>
      </c>
      <c r="L71" t="s">
        <v>425</v>
      </c>
      <c r="M71" t="s">
        <v>425</v>
      </c>
      <c r="O71" t="s">
        <v>244</v>
      </c>
      <c r="R71">
        <v>0</v>
      </c>
      <c r="S71">
        <v>0</v>
      </c>
      <c r="T71" t="s">
        <v>244</v>
      </c>
      <c r="U71" t="s">
        <v>244</v>
      </c>
      <c r="V71">
        <v>0</v>
      </c>
      <c r="W71">
        <v>0</v>
      </c>
      <c r="X71">
        <v>99999999</v>
      </c>
      <c r="Y71">
        <v>0</v>
      </c>
      <c r="Z71">
        <v>0</v>
      </c>
      <c r="AA71" t="s">
        <v>244</v>
      </c>
      <c r="AB71" t="s">
        <v>244</v>
      </c>
      <c r="AC71">
        <v>0</v>
      </c>
    </row>
    <row r="72" spans="1:29" x14ac:dyDescent="0.25">
      <c r="A72">
        <v>3310</v>
      </c>
      <c r="B72" t="s">
        <v>406</v>
      </c>
      <c r="C72" s="9" t="s">
        <v>473</v>
      </c>
      <c r="D72" t="s">
        <v>319</v>
      </c>
      <c r="E72" t="s">
        <v>243</v>
      </c>
      <c r="F72">
        <v>0</v>
      </c>
      <c r="G72">
        <v>999999999</v>
      </c>
      <c r="H72">
        <v>10.42</v>
      </c>
      <c r="I72">
        <v>0</v>
      </c>
      <c r="J72">
        <v>0</v>
      </c>
      <c r="K72" t="s">
        <v>244</v>
      </c>
      <c r="L72" t="s">
        <v>425</v>
      </c>
      <c r="M72" t="s">
        <v>425</v>
      </c>
      <c r="O72" t="s">
        <v>244</v>
      </c>
      <c r="R72">
        <v>0</v>
      </c>
      <c r="S72">
        <v>0</v>
      </c>
      <c r="T72" t="s">
        <v>244</v>
      </c>
      <c r="U72" t="s">
        <v>244</v>
      </c>
      <c r="V72">
        <v>0</v>
      </c>
      <c r="W72">
        <v>0</v>
      </c>
      <c r="X72">
        <v>99999999</v>
      </c>
      <c r="Y72">
        <v>0</v>
      </c>
      <c r="Z72">
        <v>0</v>
      </c>
      <c r="AA72" t="s">
        <v>244</v>
      </c>
      <c r="AB72" t="s">
        <v>244</v>
      </c>
      <c r="AC72">
        <v>0</v>
      </c>
    </row>
    <row r="73" spans="1:29" x14ac:dyDescent="0.25">
      <c r="A73">
        <v>3310</v>
      </c>
      <c r="B73" t="s">
        <v>407</v>
      </c>
      <c r="C73" s="9" t="s">
        <v>473</v>
      </c>
      <c r="D73" t="s">
        <v>321</v>
      </c>
      <c r="E73" t="s">
        <v>243</v>
      </c>
      <c r="F73">
        <v>0</v>
      </c>
      <c r="G73">
        <v>999999999</v>
      </c>
      <c r="H73">
        <v>546.89</v>
      </c>
      <c r="I73">
        <v>0</v>
      </c>
      <c r="J73">
        <v>0</v>
      </c>
      <c r="K73" t="s">
        <v>244</v>
      </c>
      <c r="L73" t="s">
        <v>425</v>
      </c>
      <c r="M73" t="s">
        <v>425</v>
      </c>
      <c r="O73" t="s">
        <v>244</v>
      </c>
      <c r="R73">
        <v>0</v>
      </c>
      <c r="S73">
        <v>0</v>
      </c>
      <c r="T73" t="s">
        <v>244</v>
      </c>
      <c r="U73" t="s">
        <v>244</v>
      </c>
      <c r="V73">
        <v>0</v>
      </c>
      <c r="W73">
        <v>0</v>
      </c>
      <c r="X73">
        <v>99999999</v>
      </c>
      <c r="Y73">
        <v>0</v>
      </c>
      <c r="Z73">
        <v>0</v>
      </c>
      <c r="AA73" t="s">
        <v>244</v>
      </c>
      <c r="AB73" t="s">
        <v>244</v>
      </c>
      <c r="AC73">
        <v>0</v>
      </c>
    </row>
    <row r="74" spans="1:29" x14ac:dyDescent="0.25">
      <c r="A74">
        <v>3310</v>
      </c>
      <c r="B74" t="s">
        <v>408</v>
      </c>
      <c r="C74" s="9" t="s">
        <v>473</v>
      </c>
      <c r="D74" t="s">
        <v>319</v>
      </c>
      <c r="E74" t="s">
        <v>243</v>
      </c>
      <c r="F74">
        <v>0</v>
      </c>
      <c r="G74">
        <v>999999999</v>
      </c>
      <c r="H74">
        <v>4.63</v>
      </c>
      <c r="I74">
        <v>0</v>
      </c>
      <c r="J74">
        <v>0</v>
      </c>
      <c r="K74" t="s">
        <v>244</v>
      </c>
      <c r="L74" t="s">
        <v>425</v>
      </c>
      <c r="M74" t="s">
        <v>425</v>
      </c>
      <c r="O74" t="s">
        <v>244</v>
      </c>
      <c r="R74">
        <v>0</v>
      </c>
      <c r="S74">
        <v>0</v>
      </c>
      <c r="T74" t="s">
        <v>244</v>
      </c>
      <c r="U74" t="s">
        <v>244</v>
      </c>
      <c r="V74">
        <v>0</v>
      </c>
      <c r="W74">
        <v>0</v>
      </c>
      <c r="X74">
        <v>99999999</v>
      </c>
      <c r="Y74">
        <v>0</v>
      </c>
      <c r="Z74">
        <v>0</v>
      </c>
      <c r="AA74" t="s">
        <v>244</v>
      </c>
      <c r="AB74" t="s">
        <v>244</v>
      </c>
      <c r="AC74">
        <v>0</v>
      </c>
    </row>
    <row r="75" spans="1:29" x14ac:dyDescent="0.25">
      <c r="A75">
        <v>3640</v>
      </c>
      <c r="B75" t="s">
        <v>409</v>
      </c>
      <c r="C75" s="9" t="s">
        <v>473</v>
      </c>
      <c r="D75" t="s">
        <v>319</v>
      </c>
      <c r="E75" t="s">
        <v>243</v>
      </c>
      <c r="F75">
        <v>0</v>
      </c>
      <c r="G75">
        <v>999999999</v>
      </c>
      <c r="H75">
        <v>23.37</v>
      </c>
      <c r="I75">
        <v>0</v>
      </c>
      <c r="J75">
        <v>0</v>
      </c>
      <c r="K75" t="s">
        <v>244</v>
      </c>
      <c r="L75" t="s">
        <v>425</v>
      </c>
      <c r="M75" t="s">
        <v>425</v>
      </c>
      <c r="O75" t="s">
        <v>244</v>
      </c>
      <c r="R75">
        <v>0</v>
      </c>
      <c r="S75">
        <v>0</v>
      </c>
      <c r="T75" t="s">
        <v>244</v>
      </c>
      <c r="U75" t="s">
        <v>244</v>
      </c>
      <c r="V75">
        <v>0</v>
      </c>
      <c r="W75">
        <v>0</v>
      </c>
      <c r="X75">
        <v>99999999</v>
      </c>
      <c r="Y75">
        <v>0</v>
      </c>
      <c r="Z75">
        <v>0</v>
      </c>
      <c r="AA75" t="s">
        <v>244</v>
      </c>
      <c r="AB75" t="s">
        <v>244</v>
      </c>
      <c r="AC75">
        <v>0</v>
      </c>
    </row>
    <row r="76" spans="1:29" x14ac:dyDescent="0.25">
      <c r="A76">
        <v>3700</v>
      </c>
      <c r="B76" t="s">
        <v>410</v>
      </c>
      <c r="C76" s="9" t="s">
        <v>473</v>
      </c>
      <c r="D76" t="s">
        <v>439</v>
      </c>
      <c r="E76" t="s">
        <v>243</v>
      </c>
      <c r="F76">
        <v>0</v>
      </c>
      <c r="G76">
        <v>999999999</v>
      </c>
      <c r="H76">
        <v>0</v>
      </c>
      <c r="I76">
        <v>0</v>
      </c>
      <c r="J76">
        <v>0</v>
      </c>
      <c r="K76" t="s">
        <v>301</v>
      </c>
      <c r="L76" t="s">
        <v>425</v>
      </c>
      <c r="M76" t="s">
        <v>425</v>
      </c>
      <c r="N76" t="s">
        <v>437</v>
      </c>
      <c r="O76" t="s">
        <v>244</v>
      </c>
      <c r="R76">
        <v>0</v>
      </c>
      <c r="S76">
        <v>0</v>
      </c>
      <c r="T76" t="s">
        <v>244</v>
      </c>
      <c r="U76" t="s">
        <v>244</v>
      </c>
      <c r="V76">
        <v>0</v>
      </c>
      <c r="W76">
        <v>0</v>
      </c>
      <c r="X76">
        <v>99999999</v>
      </c>
      <c r="Y76">
        <v>0</v>
      </c>
      <c r="Z76">
        <v>0</v>
      </c>
      <c r="AA76" t="s">
        <v>244</v>
      </c>
      <c r="AB76" t="s">
        <v>244</v>
      </c>
      <c r="AC76">
        <v>0</v>
      </c>
    </row>
    <row r="77" spans="1:29" x14ac:dyDescent="0.25">
      <c r="A77">
        <v>3700</v>
      </c>
      <c r="B77" t="s">
        <v>411</v>
      </c>
      <c r="C77" s="9" t="s">
        <v>473</v>
      </c>
      <c r="D77" t="s">
        <v>439</v>
      </c>
      <c r="E77" t="s">
        <v>243</v>
      </c>
      <c r="F77">
        <v>0</v>
      </c>
      <c r="G77">
        <v>999999999</v>
      </c>
      <c r="H77">
        <v>0</v>
      </c>
      <c r="I77">
        <v>0</v>
      </c>
      <c r="J77">
        <v>0</v>
      </c>
      <c r="K77" t="s">
        <v>301</v>
      </c>
      <c r="L77" t="s">
        <v>425</v>
      </c>
      <c r="M77" t="s">
        <v>425</v>
      </c>
      <c r="N77" t="s">
        <v>437</v>
      </c>
      <c r="O77" t="s">
        <v>244</v>
      </c>
      <c r="R77">
        <v>0</v>
      </c>
      <c r="S77">
        <v>0</v>
      </c>
      <c r="T77" t="s">
        <v>244</v>
      </c>
      <c r="U77" t="s">
        <v>244</v>
      </c>
      <c r="V77">
        <v>0</v>
      </c>
      <c r="W77">
        <v>0</v>
      </c>
      <c r="X77">
        <v>99999999</v>
      </c>
      <c r="Y77">
        <v>0</v>
      </c>
      <c r="Z77">
        <v>0</v>
      </c>
      <c r="AA77" t="s">
        <v>244</v>
      </c>
      <c r="AB77" t="s">
        <v>244</v>
      </c>
      <c r="AC77">
        <v>0</v>
      </c>
    </row>
    <row r="78" spans="1:29" x14ac:dyDescent="0.25">
      <c r="A78">
        <v>3700</v>
      </c>
      <c r="B78" t="s">
        <v>412</v>
      </c>
      <c r="C78" s="9" t="s">
        <v>473</v>
      </c>
      <c r="D78" t="s">
        <v>439</v>
      </c>
      <c r="E78" t="s">
        <v>243</v>
      </c>
      <c r="F78">
        <v>0</v>
      </c>
      <c r="G78">
        <v>999999999</v>
      </c>
      <c r="H78">
        <v>0</v>
      </c>
      <c r="I78">
        <v>0</v>
      </c>
      <c r="J78">
        <v>0</v>
      </c>
      <c r="K78" t="s">
        <v>301</v>
      </c>
      <c r="L78" t="s">
        <v>425</v>
      </c>
      <c r="M78" t="s">
        <v>425</v>
      </c>
      <c r="N78" t="s">
        <v>437</v>
      </c>
      <c r="O78" t="s">
        <v>244</v>
      </c>
      <c r="R78">
        <v>0</v>
      </c>
      <c r="S78">
        <v>0</v>
      </c>
      <c r="T78" t="s">
        <v>244</v>
      </c>
      <c r="U78" t="s">
        <v>244</v>
      </c>
      <c r="V78">
        <v>0</v>
      </c>
      <c r="W78">
        <v>0</v>
      </c>
      <c r="X78">
        <v>99999999</v>
      </c>
      <c r="Y78">
        <v>0</v>
      </c>
      <c r="Z78">
        <v>0</v>
      </c>
      <c r="AA78" t="s">
        <v>244</v>
      </c>
      <c r="AB78" t="s">
        <v>244</v>
      </c>
      <c r="AC78">
        <v>0</v>
      </c>
    </row>
    <row r="79" spans="1:29" x14ac:dyDescent="0.25">
      <c r="A79">
        <v>3700</v>
      </c>
      <c r="B79" t="s">
        <v>413</v>
      </c>
      <c r="C79" s="9" t="s">
        <v>473</v>
      </c>
      <c r="D79" t="s">
        <v>439</v>
      </c>
      <c r="E79" t="s">
        <v>243</v>
      </c>
      <c r="F79">
        <v>0</v>
      </c>
      <c r="G79">
        <v>999999999</v>
      </c>
      <c r="H79">
        <v>0</v>
      </c>
      <c r="I79">
        <v>0</v>
      </c>
      <c r="J79">
        <v>0</v>
      </c>
      <c r="K79" t="s">
        <v>301</v>
      </c>
      <c r="L79" t="s">
        <v>425</v>
      </c>
      <c r="M79" t="s">
        <v>425</v>
      </c>
      <c r="N79" t="s">
        <v>437</v>
      </c>
      <c r="O79" t="s">
        <v>244</v>
      </c>
      <c r="R79">
        <v>0</v>
      </c>
      <c r="S79">
        <v>0</v>
      </c>
      <c r="T79" t="s">
        <v>244</v>
      </c>
      <c r="U79" t="s">
        <v>244</v>
      </c>
      <c r="V79">
        <v>0</v>
      </c>
      <c r="W79">
        <v>0</v>
      </c>
      <c r="X79">
        <v>99999999</v>
      </c>
      <c r="Y79">
        <v>0</v>
      </c>
      <c r="Z79">
        <v>0</v>
      </c>
      <c r="AA79" t="s">
        <v>244</v>
      </c>
      <c r="AB79" t="s">
        <v>244</v>
      </c>
      <c r="AC79">
        <v>0</v>
      </c>
    </row>
    <row r="80" spans="1:29" x14ac:dyDescent="0.25">
      <c r="A80">
        <v>3700</v>
      </c>
      <c r="B80" t="s">
        <v>414</v>
      </c>
      <c r="C80" s="9" t="s">
        <v>473</v>
      </c>
      <c r="D80" t="s">
        <v>439</v>
      </c>
      <c r="E80" t="s">
        <v>243</v>
      </c>
      <c r="F80">
        <v>0</v>
      </c>
      <c r="G80">
        <v>999999999</v>
      </c>
      <c r="H80">
        <v>0</v>
      </c>
      <c r="I80">
        <v>0</v>
      </c>
      <c r="J80">
        <v>0</v>
      </c>
      <c r="K80" t="s">
        <v>301</v>
      </c>
      <c r="L80" t="s">
        <v>425</v>
      </c>
      <c r="M80" t="s">
        <v>425</v>
      </c>
      <c r="N80" t="s">
        <v>437</v>
      </c>
      <c r="O80" t="s">
        <v>244</v>
      </c>
      <c r="R80">
        <v>0</v>
      </c>
      <c r="S80">
        <v>0</v>
      </c>
      <c r="T80" t="s">
        <v>244</v>
      </c>
      <c r="U80" t="s">
        <v>244</v>
      </c>
      <c r="V80">
        <v>0</v>
      </c>
      <c r="W80">
        <v>0</v>
      </c>
      <c r="X80">
        <v>99999999</v>
      </c>
      <c r="Y80">
        <v>0</v>
      </c>
      <c r="Z80">
        <v>0</v>
      </c>
      <c r="AA80" t="s">
        <v>244</v>
      </c>
      <c r="AB80" t="s">
        <v>244</v>
      </c>
      <c r="AC80">
        <v>0</v>
      </c>
    </row>
    <row r="81" spans="1:30" x14ac:dyDescent="0.25">
      <c r="A81">
        <v>3700</v>
      </c>
      <c r="B81" t="s">
        <v>415</v>
      </c>
      <c r="C81" s="9" t="s">
        <v>473</v>
      </c>
      <c r="D81" t="s">
        <v>439</v>
      </c>
      <c r="E81" t="s">
        <v>243</v>
      </c>
      <c r="F81">
        <v>0</v>
      </c>
      <c r="G81">
        <v>999999999</v>
      </c>
      <c r="H81">
        <v>0</v>
      </c>
      <c r="I81">
        <v>0</v>
      </c>
      <c r="J81">
        <v>0</v>
      </c>
      <c r="K81" t="s">
        <v>301</v>
      </c>
      <c r="L81" t="s">
        <v>425</v>
      </c>
      <c r="M81" t="s">
        <v>425</v>
      </c>
      <c r="N81" t="s">
        <v>437</v>
      </c>
      <c r="O81" t="s">
        <v>244</v>
      </c>
      <c r="R81">
        <v>0</v>
      </c>
      <c r="S81">
        <v>0</v>
      </c>
      <c r="T81" t="s">
        <v>244</v>
      </c>
      <c r="U81" t="s">
        <v>244</v>
      </c>
      <c r="V81">
        <v>0</v>
      </c>
      <c r="W81">
        <v>0</v>
      </c>
      <c r="X81">
        <v>99999999</v>
      </c>
      <c r="Y81">
        <v>0</v>
      </c>
      <c r="Z81">
        <v>0</v>
      </c>
      <c r="AA81" t="s">
        <v>244</v>
      </c>
      <c r="AB81" t="s">
        <v>244</v>
      </c>
      <c r="AC81">
        <v>0</v>
      </c>
    </row>
    <row r="82" spans="1:30" x14ac:dyDescent="0.25">
      <c r="A82">
        <v>3700</v>
      </c>
      <c r="B82" t="s">
        <v>441</v>
      </c>
      <c r="C82" s="9" t="s">
        <v>473</v>
      </c>
      <c r="D82" t="s">
        <v>324</v>
      </c>
      <c r="E82" t="s">
        <v>243</v>
      </c>
      <c r="F82">
        <v>0</v>
      </c>
      <c r="G82">
        <v>999999999</v>
      </c>
      <c r="H82">
        <v>0</v>
      </c>
      <c r="I82">
        <v>0</v>
      </c>
      <c r="J82">
        <v>0</v>
      </c>
      <c r="K82" t="s">
        <v>301</v>
      </c>
      <c r="L82" t="s">
        <v>301</v>
      </c>
      <c r="M82" t="s">
        <v>425</v>
      </c>
      <c r="N82" t="s">
        <v>437</v>
      </c>
      <c r="O82" t="s">
        <v>301</v>
      </c>
      <c r="R82">
        <v>0</v>
      </c>
      <c r="S82">
        <v>0</v>
      </c>
      <c r="T82" t="s">
        <v>244</v>
      </c>
      <c r="U82" t="s">
        <v>244</v>
      </c>
      <c r="V82">
        <v>0</v>
      </c>
      <c r="W82">
        <v>0</v>
      </c>
      <c r="X82">
        <v>99999999</v>
      </c>
      <c r="Y82">
        <v>0</v>
      </c>
      <c r="Z82">
        <v>0</v>
      </c>
      <c r="AA82" t="s">
        <v>244</v>
      </c>
      <c r="AB82" t="s">
        <v>244</v>
      </c>
      <c r="AC82">
        <v>0</v>
      </c>
      <c r="AD82" t="s">
        <v>244</v>
      </c>
    </row>
    <row r="83" spans="1:30" x14ac:dyDescent="0.25">
      <c r="A83">
        <v>3700</v>
      </c>
      <c r="B83" t="s">
        <v>442</v>
      </c>
      <c r="C83" s="9" t="s">
        <v>473</v>
      </c>
      <c r="D83" t="s">
        <v>439</v>
      </c>
      <c r="E83" t="s">
        <v>243</v>
      </c>
      <c r="F83">
        <v>0</v>
      </c>
      <c r="G83">
        <v>999999999</v>
      </c>
      <c r="H83">
        <v>0</v>
      </c>
      <c r="I83">
        <v>0</v>
      </c>
      <c r="J83">
        <v>0</v>
      </c>
      <c r="K83" t="s">
        <v>301</v>
      </c>
      <c r="L83" t="s">
        <v>425</v>
      </c>
      <c r="M83" t="s">
        <v>425</v>
      </c>
      <c r="N83" t="s">
        <v>437</v>
      </c>
      <c r="O83" t="s">
        <v>244</v>
      </c>
      <c r="R83">
        <v>0</v>
      </c>
      <c r="S83">
        <v>0</v>
      </c>
      <c r="T83" t="s">
        <v>244</v>
      </c>
      <c r="U83" t="s">
        <v>244</v>
      </c>
      <c r="V83">
        <v>0</v>
      </c>
      <c r="W83">
        <v>0</v>
      </c>
      <c r="X83">
        <v>99999999</v>
      </c>
      <c r="Y83">
        <v>0</v>
      </c>
      <c r="Z83">
        <v>0</v>
      </c>
      <c r="AA83" t="s">
        <v>244</v>
      </c>
      <c r="AB83" t="s">
        <v>244</v>
      </c>
      <c r="AC83">
        <v>0</v>
      </c>
    </row>
    <row r="84" spans="1:30" x14ac:dyDescent="0.25">
      <c r="A84">
        <v>3700</v>
      </c>
      <c r="B84" t="s">
        <v>443</v>
      </c>
      <c r="C84" s="9" t="s">
        <v>473</v>
      </c>
      <c r="D84" t="s">
        <v>439</v>
      </c>
      <c r="E84" t="s">
        <v>243</v>
      </c>
      <c r="F84">
        <v>0</v>
      </c>
      <c r="G84">
        <v>999999999</v>
      </c>
      <c r="H84">
        <v>0</v>
      </c>
      <c r="I84">
        <v>0</v>
      </c>
      <c r="J84">
        <v>0</v>
      </c>
      <c r="K84" t="s">
        <v>301</v>
      </c>
      <c r="L84" t="s">
        <v>425</v>
      </c>
      <c r="M84" t="s">
        <v>425</v>
      </c>
      <c r="N84" t="s">
        <v>437</v>
      </c>
      <c r="O84" t="s">
        <v>244</v>
      </c>
      <c r="R84">
        <v>0</v>
      </c>
      <c r="S84">
        <v>0</v>
      </c>
      <c r="T84" t="s">
        <v>244</v>
      </c>
      <c r="U84" t="s">
        <v>244</v>
      </c>
      <c r="V84">
        <v>0</v>
      </c>
      <c r="W84">
        <v>0</v>
      </c>
      <c r="X84">
        <v>99999999</v>
      </c>
      <c r="Y84">
        <v>0</v>
      </c>
      <c r="Z84">
        <v>0</v>
      </c>
      <c r="AA84" t="s">
        <v>244</v>
      </c>
      <c r="AB84" t="s">
        <v>244</v>
      </c>
      <c r="AC84">
        <v>0</v>
      </c>
    </row>
    <row r="85" spans="1:30" x14ac:dyDescent="0.25">
      <c r="A85">
        <v>3700</v>
      </c>
      <c r="B85" t="s">
        <v>416</v>
      </c>
      <c r="C85" s="9" t="s">
        <v>473</v>
      </c>
      <c r="D85" t="s">
        <v>439</v>
      </c>
      <c r="E85" t="s">
        <v>243</v>
      </c>
      <c r="F85">
        <v>0</v>
      </c>
      <c r="G85">
        <v>999999999</v>
      </c>
      <c r="H85">
        <v>0</v>
      </c>
      <c r="I85">
        <v>0</v>
      </c>
      <c r="J85">
        <v>0</v>
      </c>
      <c r="K85" t="s">
        <v>301</v>
      </c>
      <c r="L85" t="s">
        <v>425</v>
      </c>
      <c r="M85" t="s">
        <v>425</v>
      </c>
      <c r="N85" t="s">
        <v>437</v>
      </c>
      <c r="O85" t="s">
        <v>244</v>
      </c>
      <c r="R85">
        <v>0</v>
      </c>
      <c r="S85">
        <v>0</v>
      </c>
      <c r="T85" t="s">
        <v>244</v>
      </c>
      <c r="U85" t="s">
        <v>244</v>
      </c>
      <c r="V85">
        <v>0</v>
      </c>
      <c r="W85">
        <v>0</v>
      </c>
      <c r="X85">
        <v>99999999</v>
      </c>
      <c r="Y85">
        <v>0</v>
      </c>
      <c r="Z85">
        <v>0</v>
      </c>
      <c r="AA85" t="s">
        <v>244</v>
      </c>
      <c r="AB85" t="s">
        <v>244</v>
      </c>
      <c r="AC85">
        <v>0</v>
      </c>
    </row>
    <row r="86" spans="1:30" x14ac:dyDescent="0.25">
      <c r="A86">
        <v>3700</v>
      </c>
      <c r="B86" t="s">
        <v>417</v>
      </c>
      <c r="C86" s="9" t="s">
        <v>473</v>
      </c>
      <c r="D86" t="s">
        <v>439</v>
      </c>
      <c r="E86" t="s">
        <v>243</v>
      </c>
      <c r="F86">
        <v>0</v>
      </c>
      <c r="G86">
        <v>999999999</v>
      </c>
      <c r="H86">
        <v>0</v>
      </c>
      <c r="I86">
        <v>0</v>
      </c>
      <c r="J86">
        <v>0</v>
      </c>
      <c r="K86" t="s">
        <v>301</v>
      </c>
      <c r="L86" t="s">
        <v>425</v>
      </c>
      <c r="M86" t="s">
        <v>425</v>
      </c>
      <c r="N86" t="s">
        <v>437</v>
      </c>
      <c r="O86" t="s">
        <v>244</v>
      </c>
      <c r="R86">
        <v>0</v>
      </c>
      <c r="S86">
        <v>0</v>
      </c>
      <c r="T86" t="s">
        <v>244</v>
      </c>
      <c r="U86" t="s">
        <v>244</v>
      </c>
      <c r="V86">
        <v>0</v>
      </c>
      <c r="W86">
        <v>0</v>
      </c>
      <c r="X86">
        <v>99999999</v>
      </c>
      <c r="Y86">
        <v>0</v>
      </c>
      <c r="Z86">
        <v>0</v>
      </c>
      <c r="AA86" t="s">
        <v>244</v>
      </c>
      <c r="AB86" t="s">
        <v>244</v>
      </c>
      <c r="AC86">
        <v>0</v>
      </c>
    </row>
    <row r="87" spans="1:30" x14ac:dyDescent="0.25">
      <c r="A87">
        <v>3700</v>
      </c>
      <c r="B87" t="s">
        <v>418</v>
      </c>
      <c r="C87" s="9" t="s">
        <v>473</v>
      </c>
      <c r="D87" t="s">
        <v>439</v>
      </c>
      <c r="E87" t="s">
        <v>243</v>
      </c>
      <c r="F87">
        <v>0</v>
      </c>
      <c r="G87">
        <v>999999999</v>
      </c>
      <c r="H87">
        <v>0</v>
      </c>
      <c r="I87">
        <v>0</v>
      </c>
      <c r="J87">
        <v>0</v>
      </c>
      <c r="K87" t="s">
        <v>301</v>
      </c>
      <c r="L87" t="s">
        <v>425</v>
      </c>
      <c r="M87" t="s">
        <v>425</v>
      </c>
      <c r="N87" t="s">
        <v>437</v>
      </c>
      <c r="O87" t="s">
        <v>244</v>
      </c>
      <c r="R87">
        <v>0</v>
      </c>
      <c r="S87">
        <v>0</v>
      </c>
      <c r="T87" t="s">
        <v>244</v>
      </c>
      <c r="U87" t="s">
        <v>244</v>
      </c>
      <c r="V87">
        <v>0</v>
      </c>
      <c r="W87">
        <v>0</v>
      </c>
      <c r="X87">
        <v>99999999</v>
      </c>
      <c r="Y87">
        <v>0</v>
      </c>
      <c r="Z87">
        <v>0</v>
      </c>
      <c r="AA87" t="s">
        <v>244</v>
      </c>
      <c r="AB87" t="s">
        <v>244</v>
      </c>
      <c r="AC87">
        <v>0</v>
      </c>
    </row>
    <row r="88" spans="1:30" x14ac:dyDescent="0.25">
      <c r="A88">
        <v>3700</v>
      </c>
      <c r="B88" t="s">
        <v>419</v>
      </c>
      <c r="C88" s="9" t="s">
        <v>473</v>
      </c>
      <c r="D88" t="s">
        <v>439</v>
      </c>
      <c r="E88" t="s">
        <v>243</v>
      </c>
      <c r="F88">
        <v>0</v>
      </c>
      <c r="G88">
        <v>999999999</v>
      </c>
      <c r="H88">
        <v>0</v>
      </c>
      <c r="I88">
        <v>0</v>
      </c>
      <c r="J88">
        <v>0</v>
      </c>
      <c r="K88" t="s">
        <v>301</v>
      </c>
      <c r="L88" t="s">
        <v>425</v>
      </c>
      <c r="M88" t="s">
        <v>425</v>
      </c>
      <c r="N88" t="s">
        <v>437</v>
      </c>
      <c r="O88" t="s">
        <v>244</v>
      </c>
      <c r="R88">
        <v>0</v>
      </c>
      <c r="S88">
        <v>0</v>
      </c>
      <c r="T88" t="s">
        <v>244</v>
      </c>
      <c r="U88" t="s">
        <v>244</v>
      </c>
      <c r="V88">
        <v>0</v>
      </c>
      <c r="W88">
        <v>0</v>
      </c>
      <c r="X88">
        <v>99999999</v>
      </c>
      <c r="Y88">
        <v>0</v>
      </c>
      <c r="Z88">
        <v>0</v>
      </c>
      <c r="AA88" t="s">
        <v>244</v>
      </c>
      <c r="AB88" t="s">
        <v>244</v>
      </c>
      <c r="AC88">
        <v>0</v>
      </c>
    </row>
    <row r="89" spans="1:30" x14ac:dyDescent="0.25">
      <c r="A89">
        <v>3700</v>
      </c>
      <c r="B89" t="s">
        <v>420</v>
      </c>
      <c r="C89" s="9" t="s">
        <v>473</v>
      </c>
      <c r="D89" t="s">
        <v>439</v>
      </c>
      <c r="E89" t="s">
        <v>243</v>
      </c>
      <c r="F89">
        <v>0</v>
      </c>
      <c r="G89">
        <v>999999999</v>
      </c>
      <c r="H89">
        <v>0</v>
      </c>
      <c r="I89">
        <v>0</v>
      </c>
      <c r="J89">
        <v>0</v>
      </c>
      <c r="K89" t="s">
        <v>301</v>
      </c>
      <c r="L89" t="s">
        <v>425</v>
      </c>
      <c r="M89" t="s">
        <v>425</v>
      </c>
      <c r="N89" t="s">
        <v>437</v>
      </c>
      <c r="O89" t="s">
        <v>244</v>
      </c>
      <c r="R89">
        <v>0</v>
      </c>
      <c r="S89">
        <v>0</v>
      </c>
      <c r="T89" t="s">
        <v>244</v>
      </c>
      <c r="U89" t="s">
        <v>244</v>
      </c>
      <c r="V89">
        <v>0</v>
      </c>
      <c r="W89">
        <v>0</v>
      </c>
      <c r="X89">
        <v>99999999</v>
      </c>
      <c r="Y89">
        <v>0</v>
      </c>
      <c r="Z89">
        <v>0</v>
      </c>
      <c r="AA89" t="s">
        <v>244</v>
      </c>
      <c r="AB89" t="s">
        <v>244</v>
      </c>
      <c r="AC89">
        <v>0</v>
      </c>
    </row>
    <row r="90" spans="1:30" x14ac:dyDescent="0.25">
      <c r="A90">
        <v>3700</v>
      </c>
      <c r="B90" t="s">
        <v>421</v>
      </c>
      <c r="C90" s="9" t="s">
        <v>473</v>
      </c>
      <c r="D90" t="s">
        <v>439</v>
      </c>
      <c r="E90" t="s">
        <v>243</v>
      </c>
      <c r="F90">
        <v>0</v>
      </c>
      <c r="G90">
        <v>999999999</v>
      </c>
      <c r="H90">
        <v>0</v>
      </c>
      <c r="I90">
        <v>0</v>
      </c>
      <c r="J90">
        <v>0</v>
      </c>
      <c r="K90" t="s">
        <v>301</v>
      </c>
      <c r="L90" t="s">
        <v>425</v>
      </c>
      <c r="M90" t="s">
        <v>425</v>
      </c>
      <c r="N90" t="s">
        <v>437</v>
      </c>
      <c r="O90" t="s">
        <v>244</v>
      </c>
      <c r="R90">
        <v>0</v>
      </c>
      <c r="S90">
        <v>0</v>
      </c>
      <c r="T90" t="s">
        <v>244</v>
      </c>
      <c r="U90" t="s">
        <v>244</v>
      </c>
      <c r="V90">
        <v>0</v>
      </c>
      <c r="W90">
        <v>0</v>
      </c>
      <c r="X90">
        <v>99999999</v>
      </c>
      <c r="Y90">
        <v>0</v>
      </c>
      <c r="Z90">
        <v>0</v>
      </c>
      <c r="AA90" t="s">
        <v>244</v>
      </c>
      <c r="AB90" t="s">
        <v>244</v>
      </c>
      <c r="AC90">
        <v>0</v>
      </c>
    </row>
    <row r="91" spans="1:30" x14ac:dyDescent="0.25">
      <c r="A91">
        <v>3700</v>
      </c>
      <c r="B91" t="s">
        <v>422</v>
      </c>
      <c r="C91" s="9" t="s">
        <v>473</v>
      </c>
      <c r="D91" t="s">
        <v>439</v>
      </c>
      <c r="E91" t="s">
        <v>243</v>
      </c>
      <c r="F91">
        <v>0</v>
      </c>
      <c r="G91">
        <v>999999999</v>
      </c>
      <c r="H91">
        <v>0</v>
      </c>
      <c r="I91">
        <v>0</v>
      </c>
      <c r="J91">
        <v>0</v>
      </c>
      <c r="K91" t="s">
        <v>301</v>
      </c>
      <c r="L91" t="s">
        <v>425</v>
      </c>
      <c r="M91" t="s">
        <v>425</v>
      </c>
      <c r="N91" t="s">
        <v>437</v>
      </c>
      <c r="O91" t="s">
        <v>244</v>
      </c>
      <c r="R91">
        <v>0</v>
      </c>
      <c r="S91">
        <v>0</v>
      </c>
      <c r="T91" t="s">
        <v>244</v>
      </c>
      <c r="U91" t="s">
        <v>244</v>
      </c>
      <c r="V91">
        <v>0</v>
      </c>
      <c r="W91">
        <v>0</v>
      </c>
      <c r="X91">
        <v>99999999</v>
      </c>
      <c r="Y91">
        <v>0</v>
      </c>
      <c r="Z91">
        <v>0</v>
      </c>
      <c r="AA91" t="s">
        <v>244</v>
      </c>
      <c r="AB91" t="s">
        <v>244</v>
      </c>
      <c r="AC91">
        <v>0</v>
      </c>
    </row>
    <row r="92" spans="1:30" x14ac:dyDescent="0.25">
      <c r="A92">
        <v>3700</v>
      </c>
      <c r="B92" t="s">
        <v>456</v>
      </c>
      <c r="C92" s="9" t="s">
        <v>473</v>
      </c>
      <c r="D92" t="s">
        <v>439</v>
      </c>
      <c r="E92" t="s">
        <v>243</v>
      </c>
      <c r="F92">
        <v>0</v>
      </c>
      <c r="G92">
        <v>999999999</v>
      </c>
      <c r="H92">
        <v>0</v>
      </c>
      <c r="I92">
        <v>0</v>
      </c>
      <c r="J92">
        <v>0</v>
      </c>
      <c r="K92" t="s">
        <v>301</v>
      </c>
      <c r="L92" t="s">
        <v>425</v>
      </c>
      <c r="M92" t="s">
        <v>425</v>
      </c>
      <c r="N92" t="s">
        <v>437</v>
      </c>
      <c r="O92" t="s">
        <v>244</v>
      </c>
      <c r="R92">
        <v>0</v>
      </c>
      <c r="S92">
        <v>0</v>
      </c>
      <c r="T92" t="s">
        <v>244</v>
      </c>
      <c r="U92" t="s">
        <v>244</v>
      </c>
      <c r="V92">
        <v>0</v>
      </c>
      <c r="W92">
        <v>0</v>
      </c>
      <c r="X92">
        <v>99999999</v>
      </c>
      <c r="Y92">
        <v>0</v>
      </c>
      <c r="Z92">
        <v>0</v>
      </c>
      <c r="AA92" t="s">
        <v>244</v>
      </c>
      <c r="AB92" t="s">
        <v>244</v>
      </c>
      <c r="AC92">
        <v>0</v>
      </c>
    </row>
    <row r="93" spans="1:30" x14ac:dyDescent="0.25">
      <c r="A93">
        <v>3700</v>
      </c>
      <c r="B93" t="s">
        <v>470</v>
      </c>
      <c r="C93" s="9" t="s">
        <v>473</v>
      </c>
      <c r="D93" t="s">
        <v>439</v>
      </c>
      <c r="E93" t="s">
        <v>243</v>
      </c>
      <c r="F93">
        <v>0</v>
      </c>
      <c r="G93">
        <v>999999999</v>
      </c>
      <c r="H93">
        <v>0</v>
      </c>
      <c r="I93">
        <v>0</v>
      </c>
      <c r="J93">
        <v>0</v>
      </c>
      <c r="K93" t="s">
        <v>301</v>
      </c>
      <c r="L93" t="s">
        <v>425</v>
      </c>
      <c r="M93" t="s">
        <v>425</v>
      </c>
      <c r="N93" t="s">
        <v>437</v>
      </c>
      <c r="O93" t="s">
        <v>244</v>
      </c>
      <c r="R93">
        <v>0</v>
      </c>
      <c r="S93">
        <v>0</v>
      </c>
      <c r="T93" t="s">
        <v>244</v>
      </c>
      <c r="U93" t="s">
        <v>244</v>
      </c>
      <c r="V93">
        <v>0</v>
      </c>
      <c r="W93">
        <v>0</v>
      </c>
      <c r="X93">
        <v>99999999</v>
      </c>
      <c r="Y93">
        <v>0</v>
      </c>
      <c r="Z93">
        <v>0</v>
      </c>
      <c r="AA93" t="s">
        <v>244</v>
      </c>
      <c r="AB93" t="s">
        <v>244</v>
      </c>
      <c r="AC93">
        <v>0</v>
      </c>
    </row>
    <row r="94" spans="1:30" x14ac:dyDescent="0.25">
      <c r="A94">
        <v>3700</v>
      </c>
      <c r="B94" t="s">
        <v>464</v>
      </c>
      <c r="C94" s="9" t="s">
        <v>473</v>
      </c>
      <c r="D94" t="s">
        <v>439</v>
      </c>
      <c r="E94" t="s">
        <v>243</v>
      </c>
      <c r="F94">
        <v>0</v>
      </c>
      <c r="G94">
        <v>999999999</v>
      </c>
      <c r="H94">
        <v>0</v>
      </c>
      <c r="I94">
        <v>0</v>
      </c>
      <c r="J94">
        <v>0</v>
      </c>
      <c r="K94" t="s">
        <v>301</v>
      </c>
      <c r="L94" t="s">
        <v>425</v>
      </c>
      <c r="M94" t="s">
        <v>425</v>
      </c>
      <c r="N94" t="s">
        <v>437</v>
      </c>
      <c r="O94" t="s">
        <v>244</v>
      </c>
      <c r="R94">
        <v>0</v>
      </c>
      <c r="S94">
        <v>0</v>
      </c>
      <c r="T94" t="s">
        <v>244</v>
      </c>
      <c r="U94" t="s">
        <v>244</v>
      </c>
      <c r="V94">
        <v>0</v>
      </c>
      <c r="W94">
        <v>0</v>
      </c>
      <c r="X94">
        <v>99999999</v>
      </c>
      <c r="Y94">
        <v>0</v>
      </c>
      <c r="Z94">
        <v>0</v>
      </c>
      <c r="AA94" t="s">
        <v>244</v>
      </c>
      <c r="AB94" t="s">
        <v>244</v>
      </c>
      <c r="AC94">
        <v>0</v>
      </c>
    </row>
    <row r="95" spans="1:30" x14ac:dyDescent="0.25">
      <c r="A95">
        <v>3700</v>
      </c>
      <c r="B95" t="s">
        <v>423</v>
      </c>
      <c r="C95" s="9" t="s">
        <v>473</v>
      </c>
      <c r="D95" t="s">
        <v>317</v>
      </c>
      <c r="E95" t="s">
        <v>243</v>
      </c>
      <c r="F95">
        <v>0</v>
      </c>
      <c r="G95">
        <v>999999999</v>
      </c>
      <c r="H95">
        <v>999999999</v>
      </c>
      <c r="I95">
        <v>0</v>
      </c>
      <c r="J95">
        <v>0</v>
      </c>
      <c r="K95" t="s">
        <v>301</v>
      </c>
      <c r="L95" t="s">
        <v>244</v>
      </c>
      <c r="N95" t="s">
        <v>474</v>
      </c>
      <c r="O95" t="s">
        <v>244</v>
      </c>
      <c r="R95">
        <v>0</v>
      </c>
      <c r="S95">
        <v>0</v>
      </c>
      <c r="T95" t="s">
        <v>244</v>
      </c>
      <c r="U95" t="s">
        <v>244</v>
      </c>
      <c r="V95">
        <v>0</v>
      </c>
      <c r="W95">
        <v>0</v>
      </c>
      <c r="X95">
        <v>99999999</v>
      </c>
      <c r="Y95">
        <v>0</v>
      </c>
      <c r="Z95">
        <v>0</v>
      </c>
      <c r="AA95" t="s">
        <v>244</v>
      </c>
      <c r="AB95" t="s">
        <v>244</v>
      </c>
      <c r="AC9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Home</vt:lpstr>
      <vt:lpstr>RateOverview</vt:lpstr>
      <vt:lpstr>OverviewPage</vt:lpstr>
      <vt:lpstr>XMLData</vt:lpstr>
      <vt:lpstr>Invoicing</vt:lpstr>
      <vt:lpstr>ActivityCodes</vt:lpstr>
      <vt:lpstr>RateOptions</vt:lpstr>
      <vt:lpstr>SalesNames</vt:lpstr>
      <vt:lpstr>CustomerNames</vt:lpstr>
      <vt:lpstr>XML Data Backup 1</vt:lpstr>
      <vt:lpstr>OverviewBackup</vt:lpstr>
      <vt:lpstr>Day</vt:lpstr>
      <vt:lpstr>Month</vt:lpstr>
      <vt:lpstr>RateUnitCode</vt:lpstr>
      <vt:lpstr>RealEstateCodes</vt:lpstr>
      <vt:lpstr>Year</vt:lpstr>
    </vt:vector>
  </TitlesOfParts>
  <Company>Katoen Natie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Moon, Julia</dc:creator>
  <cp:lastModifiedBy>Moon, Julia</cp:lastModifiedBy>
  <cp:lastPrinted>2018-10-08T18:33:54Z</cp:lastPrinted>
  <dcterms:created xsi:type="dcterms:W3CDTF">2018-09-12T18:02:34Z</dcterms:created>
  <dcterms:modified xsi:type="dcterms:W3CDTF">2018-11-15T14:58:59Z</dcterms:modified>
</cp:coreProperties>
</file>